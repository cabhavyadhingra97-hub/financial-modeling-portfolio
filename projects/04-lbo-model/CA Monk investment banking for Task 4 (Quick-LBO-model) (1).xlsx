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JAI JAIN\Desktop\1.CA Monk\Capstone\IB and PE\Capstone Project - Raw Files\Task 4\"/>
    </mc:Choice>
  </mc:AlternateContent>
  <xr:revisionPtr revIDLastSave="0" documentId="13_ncr:1_{8E5AA387-5B85-41C9-B3FD-D1515BDB4F0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BO" sheetId="1" r:id="rId1"/>
    <sheet name="LBO Comple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1" i="2" l="1"/>
  <c r="J61" i="2"/>
  <c r="J60" i="2"/>
  <c r="J59" i="2"/>
  <c r="D48" i="2" l="1"/>
  <c r="C42" i="2"/>
  <c r="C43" i="2" s="1"/>
  <c r="C41" i="2"/>
  <c r="C38" i="2"/>
  <c r="C39" i="2" s="1"/>
  <c r="C35" i="2"/>
  <c r="C36" i="2" s="1"/>
  <c r="D32" i="2"/>
  <c r="D38" i="2" s="1"/>
  <c r="C32" i="2"/>
  <c r="C31" i="2"/>
  <c r="D31" i="2" s="1"/>
  <c r="D47" i="2" s="1"/>
  <c r="C11" i="2"/>
  <c r="C8" i="2"/>
  <c r="C12" i="2" s="1"/>
  <c r="C18" i="2" s="1"/>
  <c r="C26" i="2" s="1"/>
  <c r="C42" i="1"/>
  <c r="C43" i="1" s="1"/>
  <c r="C41" i="1"/>
  <c r="C38" i="1"/>
  <c r="C35" i="1"/>
  <c r="C32" i="1"/>
  <c r="C31" i="1"/>
  <c r="D31" i="1" s="1"/>
  <c r="E31" i="1" l="1"/>
  <c r="F31" i="1" s="1"/>
  <c r="G31" i="1" s="1"/>
  <c r="D47" i="1"/>
  <c r="D50" i="2"/>
  <c r="F47" i="1"/>
  <c r="D51" i="2"/>
  <c r="D35" i="2"/>
  <c r="E31" i="2"/>
  <c r="E32" i="2"/>
  <c r="E47" i="1" l="1"/>
  <c r="E48" i="2"/>
  <c r="D42" i="2"/>
  <c r="D43" i="2" s="1"/>
  <c r="G47" i="1"/>
  <c r="H31" i="1"/>
  <c r="E35" i="2"/>
  <c r="E38" i="2"/>
  <c r="F32" i="2"/>
  <c r="E47" i="2"/>
  <c r="F31" i="2"/>
  <c r="E50" i="2" l="1"/>
  <c r="E41" i="2" s="1"/>
  <c r="H47" i="1"/>
  <c r="I31" i="1"/>
  <c r="F47" i="2"/>
  <c r="G31" i="2"/>
  <c r="F38" i="2"/>
  <c r="G32" i="2"/>
  <c r="F35" i="2"/>
  <c r="F50" i="2" l="1"/>
  <c r="F41" i="2"/>
  <c r="I47" i="1"/>
  <c r="J31" i="1"/>
  <c r="J47" i="1" s="1"/>
  <c r="G38" i="2"/>
  <c r="H32" i="2"/>
  <c r="G35" i="2"/>
  <c r="G47" i="2"/>
  <c r="H31" i="2"/>
  <c r="E51" i="2"/>
  <c r="H38" i="2" l="1"/>
  <c r="I32" i="2"/>
  <c r="H35" i="2"/>
  <c r="E42" i="2"/>
  <c r="E43" i="2" s="1"/>
  <c r="F48" i="2"/>
  <c r="F51" i="2" s="1"/>
  <c r="G50" i="2"/>
  <c r="G41" i="2" s="1"/>
  <c r="H47" i="2"/>
  <c r="I31" i="2"/>
  <c r="J54" i="2" l="1"/>
  <c r="H50" i="2"/>
  <c r="H41" i="2" s="1"/>
  <c r="I38" i="2"/>
  <c r="J32" i="2"/>
  <c r="I35" i="2"/>
  <c r="F42" i="2"/>
  <c r="F43" i="2" s="1"/>
  <c r="G48" i="2"/>
  <c r="G51" i="2" s="1"/>
  <c r="I47" i="2"/>
  <c r="J31" i="2"/>
  <c r="J47" i="2" s="1"/>
  <c r="I50" i="2" l="1"/>
  <c r="I41" i="2" s="1"/>
  <c r="J38" i="2"/>
  <c r="J35" i="2"/>
  <c r="G42" i="2"/>
  <c r="G43" i="2" s="1"/>
  <c r="J55" i="2" s="1"/>
  <c r="J56" i="2" s="1"/>
  <c r="H48" i="2"/>
  <c r="H51" i="2" s="1"/>
  <c r="J50" i="2" l="1"/>
  <c r="J41" i="2" s="1"/>
  <c r="H42" i="2"/>
  <c r="H43" i="2" s="1"/>
  <c r="I48" i="2"/>
  <c r="I51" i="2" s="1"/>
  <c r="I42" i="2" l="1"/>
  <c r="I43" i="2" s="1"/>
  <c r="J48" i="2"/>
  <c r="J51" i="2" s="1"/>
  <c r="J42" i="2" s="1"/>
  <c r="J43" i="2" s="1"/>
</calcChain>
</file>

<file path=xl/sharedStrings.xml><?xml version="1.0" encoding="utf-8"?>
<sst xmlns="http://schemas.openxmlformats.org/spreadsheetml/2006/main" count="127" uniqueCount="66">
  <si>
    <t>Leveraged Buyout Analysis for HDFC Bank</t>
  </si>
  <si>
    <t>Select Operating and Financial Data</t>
  </si>
  <si>
    <t>Comments</t>
  </si>
  <si>
    <t>Current Date</t>
  </si>
  <si>
    <t>Current date and exit date assumed to be Dec 31 for simplicity</t>
  </si>
  <si>
    <t>Current Share Price</t>
  </si>
  <si>
    <t>Fully Diluted Shares Outstanding</t>
  </si>
  <si>
    <t>Market cap</t>
  </si>
  <si>
    <t>Current Debt</t>
  </si>
  <si>
    <t>Current Cash</t>
  </si>
  <si>
    <t>Current Net Debt</t>
  </si>
  <si>
    <t>Net Debt = Debt - Cash</t>
  </si>
  <si>
    <t>Enterprise Value</t>
  </si>
  <si>
    <t>Enterprise Value = Mkt cap + net debt</t>
  </si>
  <si>
    <t>LTM Revenue</t>
  </si>
  <si>
    <t>LTM EBITDA</t>
  </si>
  <si>
    <t>Free cash flows after debt paydown</t>
  </si>
  <si>
    <t>EV / EBITDA multiple</t>
  </si>
  <si>
    <t>LBO Assumptions</t>
  </si>
  <si>
    <t>Exit Date</t>
  </si>
  <si>
    <t>LBO Debt Capacity (Net debt/EBITDA)</t>
  </si>
  <si>
    <t>Based on current debt market conditions</t>
  </si>
  <si>
    <t>Minimum cash balance</t>
  </si>
  <si>
    <t>Company must maintain a minimum cash balance for a "rainy day"</t>
  </si>
  <si>
    <t>EBITDA multiple in exit year</t>
  </si>
  <si>
    <t>Generally assumed to be the same as the entry multiple</t>
  </si>
  <si>
    <t>Financial Sponsor Required Equity Return</t>
  </si>
  <si>
    <t>Higher required return due to increased debt and riskiness</t>
  </si>
  <si>
    <t>Projected Annual Forecast</t>
  </si>
  <si>
    <t>Revenue</t>
  </si>
  <si>
    <t>Revenue Growth Rate (%)</t>
  </si>
  <si>
    <t>EBITDA</t>
  </si>
  <si>
    <t>Assumed to remain constant with revenues for simplicity</t>
  </si>
  <si>
    <t>EBITDA Margin (%)</t>
  </si>
  <si>
    <t>Free cash flow after required debt paydown</t>
  </si>
  <si>
    <t>FCF Margin (%)</t>
  </si>
  <si>
    <t>Cash</t>
  </si>
  <si>
    <t>Beginning cash balance plus change in cash over the period</t>
  </si>
  <si>
    <t>Debt</t>
  </si>
  <si>
    <t>From Debt Schedule below</t>
  </si>
  <si>
    <t>Net Debt</t>
  </si>
  <si>
    <t>Debt Schedule</t>
  </si>
  <si>
    <t>LBO Debt, Beginning of Period</t>
  </si>
  <si>
    <t>LTM Debt * LBO Debt Capacity</t>
  </si>
  <si>
    <t xml:space="preserve"> - Required paydown</t>
  </si>
  <si>
    <t>Assumed to be INR 1,000 per year</t>
  </si>
  <si>
    <t xml:space="preserve"> - Optional paydown (after min cash balance)</t>
  </si>
  <si>
    <t>Excess cash on hand or generated throughout the year can be used to pay down debt</t>
  </si>
  <si>
    <t>LBO Debt, End of Period</t>
  </si>
  <si>
    <t>Questions:</t>
  </si>
  <si>
    <r>
      <rPr>
        <sz val="10"/>
        <color theme="1"/>
        <rFont val="Times New Roman"/>
        <family val="1"/>
      </rPr>
      <t>1.</t>
    </r>
    <r>
      <rPr>
        <sz val="10"/>
        <color rgb="FF000000"/>
        <rFont val="Times New Roman"/>
        <family val="1"/>
      </rPr>
      <t xml:space="preserve">What is the implied Enterprise Value in the exit year? </t>
    </r>
  </si>
  <si>
    <r>
      <rPr>
        <sz val="10"/>
        <color theme="1"/>
        <rFont val="Times New Roman"/>
        <family val="1"/>
      </rPr>
      <t>2.</t>
    </r>
    <r>
      <rPr>
        <sz val="10"/>
        <color rgb="FF000000"/>
        <rFont val="Times New Roman"/>
        <family val="1"/>
      </rPr>
      <t>What is the implied Equity Value at the exit year?</t>
    </r>
  </si>
  <si>
    <r>
      <rPr>
        <sz val="10"/>
        <color theme="1"/>
        <rFont val="Times New Roman"/>
        <family val="1"/>
      </rPr>
      <t>3.</t>
    </r>
    <r>
      <rPr>
        <sz val="10"/>
        <color rgb="FF000000"/>
        <rFont val="Times New Roman"/>
        <family val="1"/>
      </rPr>
      <t>What is the maximum amount financial insitutuion can invest in this company?</t>
    </r>
  </si>
  <si>
    <r>
      <rPr>
        <sz val="10"/>
        <color theme="1"/>
        <rFont val="Times New Roman"/>
        <family val="1"/>
      </rPr>
      <t>1.</t>
    </r>
    <r>
      <rPr>
        <sz val="10"/>
        <color rgb="FF000000"/>
        <rFont val="Times New Roman"/>
        <family val="1"/>
      </rPr>
      <t>How much do sponsors have to acquire this company and pay off it's debt?</t>
    </r>
  </si>
  <si>
    <r>
      <rPr>
        <sz val="10"/>
        <color theme="1"/>
        <rFont val="Times New Roman"/>
        <family val="1"/>
      </rPr>
      <t>2.</t>
    </r>
    <r>
      <rPr>
        <sz val="10"/>
        <color rgb="FF000000"/>
        <rFont val="Times New Roman"/>
        <family val="1"/>
      </rPr>
      <t>What is the highest purchase price the sponsors would be willing to pay for XYZ shares today?</t>
    </r>
  </si>
  <si>
    <r>
      <rPr>
        <sz val="10"/>
        <color theme="1"/>
        <rFont val="Times New Roman"/>
        <family val="1"/>
      </rPr>
      <t>3.</t>
    </r>
    <r>
      <rPr>
        <sz val="10"/>
        <color rgb="FF000000"/>
        <rFont val="Times New Roman"/>
        <family val="1"/>
      </rPr>
      <t>Given XYZ’s market trading level, is an LBO likely?</t>
    </r>
  </si>
  <si>
    <t>Leveraged Buyout Analysis for Company XYZ</t>
  </si>
  <si>
    <r>
      <rPr>
        <sz val="10"/>
        <color theme="1"/>
        <rFont val="Times New Roman"/>
        <family val="1"/>
      </rPr>
      <t>1.</t>
    </r>
    <r>
      <rPr>
        <sz val="10"/>
        <color rgb="FF000000"/>
        <rFont val="Times New Roman"/>
        <family val="1"/>
      </rPr>
      <t xml:space="preserve">What is the implied Enterprise Value in the exit year? </t>
    </r>
  </si>
  <si>
    <r>
      <rPr>
        <sz val="10"/>
        <color theme="1"/>
        <rFont val="Times New Roman"/>
        <family val="1"/>
      </rPr>
      <t>2.</t>
    </r>
    <r>
      <rPr>
        <sz val="10"/>
        <color rgb="FF000000"/>
        <rFont val="Times New Roman"/>
        <family val="1"/>
      </rPr>
      <t>What is the implied Equity Value at the exit year?</t>
    </r>
  </si>
  <si>
    <r>
      <rPr>
        <sz val="10"/>
        <color theme="1"/>
        <rFont val="Times New Roman"/>
        <family val="1"/>
      </rPr>
      <t>3.</t>
    </r>
    <r>
      <rPr>
        <sz val="10"/>
        <color rgb="FF000000"/>
        <rFont val="Times New Roman"/>
        <family val="1"/>
      </rPr>
      <t>What is the maximum amount financial sponsors can invest in this company?</t>
    </r>
  </si>
  <si>
    <r>
      <rPr>
        <sz val="10"/>
        <color theme="1"/>
        <rFont val="Times New Roman"/>
        <family val="1"/>
      </rPr>
      <t>1.</t>
    </r>
    <r>
      <rPr>
        <sz val="10"/>
        <color rgb="FF000000"/>
        <rFont val="Times New Roman"/>
        <family val="1"/>
      </rPr>
      <t>How much do sponsors have to acquire this company and pay off it's debt?</t>
    </r>
  </si>
  <si>
    <r>
      <rPr>
        <sz val="10"/>
        <color theme="1"/>
        <rFont val="Times New Roman"/>
        <family val="1"/>
      </rPr>
      <t>2.</t>
    </r>
    <r>
      <rPr>
        <sz val="10"/>
        <color rgb="FF000000"/>
        <rFont val="Times New Roman"/>
        <family val="1"/>
      </rPr>
      <t>What is the highest purchase price the sponsors would be willing to pay for XYZ shares today?</t>
    </r>
  </si>
  <si>
    <r>
      <rPr>
        <sz val="10"/>
        <color theme="1"/>
        <rFont val="Times New Roman"/>
        <family val="1"/>
      </rPr>
      <t>3.</t>
    </r>
    <r>
      <rPr>
        <sz val="10"/>
        <color rgb="FF000000"/>
        <rFont val="Times New Roman"/>
        <family val="1"/>
      </rPr>
      <t>Given XYZ’s market trading level, is an LBO likely?</t>
    </r>
  </si>
  <si>
    <t>&lt;&lt;Implied Enterprise Value - Debt in exit year</t>
  </si>
  <si>
    <t>&lt;&lt;(EBITDA in Exit Year)*(EV/EBITDA ratio)</t>
  </si>
  <si>
    <t>LTM EBITDA * LBO Debt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</si>
</sst>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_);\(#,##0.0\);\-_);@_)"/>
    <numFmt numFmtId="165" formatCode="0.0%_);\(0.0%\);@_)"/>
    <numFmt numFmtId="166" formatCode="0000\E"/>
    <numFmt numFmtId="167" formatCode="#,##0.0_);\(#,##0.0\);@_)"/>
    <numFmt numFmtId="168" formatCode="_(* #,##0.0_);_(* \(#,##0.0\);_(* &quot;-&quot;?_);_(@_)"/>
    <numFmt numFmtId="169" formatCode="#,##0.0_);\(#,##0.0\)"/>
    <numFmt numFmtId="170" formatCode="#,##0.000_);\(#,##0.000\)"/>
    <numFmt numFmtId="171" formatCode="&quot;$&quot;#,##0.00_);\(&quot;$&quot;#,##0.00\);@_)"/>
    <numFmt numFmtId="172" formatCode="0%_);\(0%\);@_)"/>
    <numFmt numFmtId="174" formatCode="0.00\x"/>
  </numFmts>
  <fonts count="20" x14ac:knownFonts="1">
    <font>
      <sz val="10"/>
      <color rgb="FF000000"/>
      <name val="Arial"/>
    </font>
    <font>
      <sz val="10"/>
      <color theme="1"/>
      <name val="Times New Roman"/>
      <family val="1"/>
    </font>
    <font>
      <sz val="2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b/>
      <u/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name val="Arial"/>
      <family val="2"/>
    </font>
    <font>
      <b/>
      <sz val="10"/>
      <color theme="0"/>
      <name val="Times New Roman"/>
      <family val="1"/>
    </font>
    <font>
      <sz val="7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u/>
      <sz val="10"/>
      <color theme="1"/>
      <name val="Times New Roman"/>
      <family val="1"/>
    </font>
    <font>
      <sz val="7"/>
      <color rgb="FF0000FF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80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/>
    <xf numFmtId="2" fontId="3" fillId="0" borderId="1" xfId="0" applyNumberFormat="1" applyFont="1" applyBorder="1"/>
    <xf numFmtId="0" fontId="3" fillId="0" borderId="1" xfId="0" applyFont="1" applyBorder="1"/>
    <xf numFmtId="2" fontId="3" fillId="0" borderId="0" xfId="0" applyNumberFormat="1" applyFont="1"/>
    <xf numFmtId="0" fontId="1" fillId="2" borderId="0" xfId="0" applyFont="1" applyFill="1"/>
    <xf numFmtId="0" fontId="4" fillId="2" borderId="2" xfId="0" applyFont="1" applyFill="1" applyBorder="1"/>
    <xf numFmtId="2" fontId="4" fillId="2" borderId="2" xfId="0" applyNumberFormat="1" applyFont="1" applyFill="1" applyBorder="1"/>
    <xf numFmtId="0" fontId="5" fillId="2" borderId="0" xfId="0" applyFont="1" applyFill="1"/>
    <xf numFmtId="0" fontId="3" fillId="0" borderId="0" xfId="0" applyFont="1"/>
    <xf numFmtId="1" fontId="6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/>
    <xf numFmtId="2" fontId="7" fillId="0" borderId="0" xfId="0" applyNumberFormat="1" applyFont="1"/>
    <xf numFmtId="0" fontId="3" fillId="0" borderId="0" xfId="0" quotePrefix="1" applyFont="1"/>
    <xf numFmtId="2" fontId="4" fillId="2" borderId="3" xfId="0" applyNumberFormat="1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2" fontId="8" fillId="2" borderId="5" xfId="0" applyNumberFormat="1" applyFont="1" applyFill="1" applyBorder="1" applyAlignment="1">
      <alignment horizontal="center"/>
    </xf>
    <xf numFmtId="1" fontId="3" fillId="0" borderId="0" xfId="0" applyNumberFormat="1" applyFont="1"/>
    <xf numFmtId="1" fontId="3" fillId="2" borderId="0" xfId="0" applyNumberFormat="1" applyFont="1" applyFill="1"/>
    <xf numFmtId="1" fontId="11" fillId="2" borderId="9" xfId="0" applyNumberFormat="1" applyFont="1" applyFill="1" applyBorder="1"/>
    <xf numFmtId="0" fontId="12" fillId="0" borderId="0" xfId="0" applyFont="1"/>
    <xf numFmtId="164" fontId="3" fillId="0" borderId="0" xfId="0" applyNumberFormat="1" applyFont="1"/>
    <xf numFmtId="0" fontId="13" fillId="0" borderId="0" xfId="0" applyFont="1"/>
    <xf numFmtId="9" fontId="6" fillId="0" borderId="0" xfId="0" applyNumberFormat="1" applyFont="1" applyAlignment="1"/>
    <xf numFmtId="165" fontId="6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9" fontId="7" fillId="0" borderId="0" xfId="0" applyNumberFormat="1" applyFont="1" applyAlignment="1"/>
    <xf numFmtId="167" fontId="7" fillId="0" borderId="0" xfId="0" applyNumberFormat="1" applyFont="1"/>
    <xf numFmtId="0" fontId="3" fillId="0" borderId="9" xfId="0" applyFont="1" applyBorder="1"/>
    <xf numFmtId="2" fontId="7" fillId="0" borderId="9" xfId="0" applyNumberFormat="1" applyFont="1" applyBorder="1"/>
    <xf numFmtId="168" fontId="3" fillId="0" borderId="9" xfId="0" applyNumberFormat="1" applyFont="1" applyBorder="1"/>
    <xf numFmtId="169" fontId="7" fillId="0" borderId="0" xfId="0" applyNumberFormat="1" applyFont="1"/>
    <xf numFmtId="1" fontId="14" fillId="0" borderId="9" xfId="0" applyNumberFormat="1" applyFont="1" applyBorder="1"/>
    <xf numFmtId="168" fontId="7" fillId="0" borderId="0" xfId="0" applyNumberFormat="1" applyFont="1"/>
    <xf numFmtId="168" fontId="3" fillId="0" borderId="0" xfId="0" applyNumberFormat="1" applyFont="1"/>
    <xf numFmtId="167" fontId="6" fillId="0" borderId="0" xfId="0" applyNumberFormat="1" applyFont="1"/>
    <xf numFmtId="0" fontId="3" fillId="0" borderId="9" xfId="0" quotePrefix="1" applyFont="1" applyBorder="1"/>
    <xf numFmtId="2" fontId="6" fillId="0" borderId="9" xfId="0" applyNumberFormat="1" applyFont="1" applyBorder="1"/>
    <xf numFmtId="169" fontId="3" fillId="0" borderId="9" xfId="0" applyNumberFormat="1" applyFont="1" applyBorder="1"/>
    <xf numFmtId="0" fontId="15" fillId="0" borderId="0" xfId="0" applyFont="1"/>
    <xf numFmtId="0" fontId="3" fillId="0" borderId="0" xfId="0" applyFont="1" applyAlignment="1">
      <alignment horizontal="left" readingOrder="1"/>
    </xf>
    <xf numFmtId="167" fontId="3" fillId="3" borderId="10" xfId="0" applyNumberFormat="1" applyFont="1" applyFill="1" applyBorder="1"/>
    <xf numFmtId="170" fontId="3" fillId="0" borderId="0" xfId="0" applyNumberFormat="1" applyFont="1"/>
    <xf numFmtId="171" fontId="3" fillId="3" borderId="10" xfId="0" applyNumberFormat="1" applyFont="1" applyFill="1" applyBorder="1"/>
    <xf numFmtId="172" fontId="3" fillId="3" borderId="10" xfId="0" applyNumberFormat="1" applyFont="1" applyFill="1" applyBorder="1" applyAlignment="1">
      <alignment wrapText="1"/>
    </xf>
    <xf numFmtId="0" fontId="2" fillId="0" borderId="1" xfId="0" applyFont="1" applyBorder="1"/>
    <xf numFmtId="1" fontId="6" fillId="4" borderId="3" xfId="0" applyNumberFormat="1" applyFont="1" applyFill="1" applyBorder="1" applyAlignment="1"/>
    <xf numFmtId="2" fontId="6" fillId="4" borderId="3" xfId="0" applyNumberFormat="1" applyFont="1" applyFill="1" applyBorder="1" applyAlignment="1"/>
    <xf numFmtId="1" fontId="16" fillId="0" borderId="0" xfId="0" applyNumberFormat="1" applyFont="1"/>
    <xf numFmtId="1" fontId="17" fillId="0" borderId="11" xfId="0" applyNumberFormat="1" applyFont="1" applyBorder="1"/>
    <xf numFmtId="1" fontId="17" fillId="0" borderId="9" xfId="0" applyNumberFormat="1" applyFont="1" applyBorder="1"/>
    <xf numFmtId="1" fontId="18" fillId="0" borderId="0" xfId="0" applyNumberFormat="1" applyFont="1"/>
    <xf numFmtId="165" fontId="6" fillId="4" borderId="3" xfId="0" applyNumberFormat="1" applyFont="1" applyFill="1" applyBorder="1"/>
    <xf numFmtId="167" fontId="6" fillId="4" borderId="3" xfId="0" applyNumberFormat="1" applyFont="1" applyFill="1" applyBorder="1"/>
    <xf numFmtId="2" fontId="3" fillId="3" borderId="10" xfId="0" applyNumberFormat="1" applyFont="1" applyFill="1" applyBorder="1"/>
    <xf numFmtId="0" fontId="1" fillId="2" borderId="12" xfId="0" applyFont="1" applyFill="1" applyBorder="1"/>
    <xf numFmtId="0" fontId="4" fillId="2" borderId="13" xfId="0" applyFont="1" applyFill="1" applyBorder="1"/>
    <xf numFmtId="2" fontId="4" fillId="2" borderId="13" xfId="0" applyNumberFormat="1" applyFont="1" applyFill="1" applyBorder="1"/>
    <xf numFmtId="0" fontId="1" fillId="2" borderId="13" xfId="0" applyFont="1" applyFill="1" applyBorder="1"/>
    <xf numFmtId="0" fontId="5" fillId="2" borderId="13" xfId="0" applyFont="1" applyFill="1" applyBorder="1"/>
    <xf numFmtId="0" fontId="1" fillId="2" borderId="14" xfId="0" applyFont="1" applyFill="1" applyBorder="1"/>
    <xf numFmtId="0" fontId="3" fillId="2" borderId="13" xfId="0" applyFont="1" applyFill="1" applyBorder="1"/>
    <xf numFmtId="0" fontId="4" fillId="2" borderId="12" xfId="0" applyFont="1" applyFill="1" applyBorder="1"/>
    <xf numFmtId="0" fontId="4" fillId="2" borderId="14" xfId="0" applyFont="1" applyFill="1" applyBorder="1"/>
    <xf numFmtId="1" fontId="3" fillId="0" borderId="3" xfId="0" applyNumberFormat="1" applyFont="1" applyBorder="1"/>
    <xf numFmtId="2" fontId="8" fillId="2" borderId="15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9" fillId="2" borderId="13" xfId="0" applyFont="1" applyFill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/>
    <xf numFmtId="0" fontId="8" fillId="2" borderId="6" xfId="0" applyFont="1" applyFill="1" applyBorder="1" applyAlignment="1">
      <alignment horizontal="center"/>
    </xf>
    <xf numFmtId="9" fontId="6" fillId="4" borderId="3" xfId="1" applyFont="1" applyFill="1" applyBorder="1"/>
    <xf numFmtId="172" fontId="3" fillId="3" borderId="10" xfId="0" applyNumberFormat="1" applyFont="1" applyFill="1" applyBorder="1" applyAlignment="1">
      <alignment horizontal="center" wrapText="1"/>
    </xf>
    <xf numFmtId="17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1" sqref="C1"/>
    </sheetView>
  </sheetViews>
  <sheetFormatPr defaultColWidth="14.44140625" defaultRowHeight="15" customHeight="1" x14ac:dyDescent="0.25"/>
  <cols>
    <col min="1" max="1" width="2.109375" customWidth="1"/>
    <col min="2" max="2" width="38.88671875" customWidth="1"/>
    <col min="3" max="3" width="10.88671875" customWidth="1"/>
    <col min="4" max="4" width="9.44140625" customWidth="1"/>
    <col min="5" max="5" width="9.6640625" customWidth="1"/>
    <col min="6" max="6" width="9.88671875" customWidth="1"/>
    <col min="7" max="7" width="9.33203125" customWidth="1"/>
    <col min="8" max="9" width="8.6640625" customWidth="1"/>
    <col min="10" max="10" width="9.33203125" customWidth="1"/>
    <col min="11" max="11" width="2.109375" customWidth="1"/>
    <col min="12" max="12" width="9.6640625" customWidth="1"/>
    <col min="13" max="26" width="8.6640625" customWidth="1"/>
  </cols>
  <sheetData>
    <row r="1" spans="1:26" ht="25.2" x14ac:dyDescent="0.45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6"/>
      <c r="B3" s="7" t="s">
        <v>1</v>
      </c>
      <c r="C3" s="8"/>
      <c r="D3" s="7"/>
      <c r="E3" s="7"/>
      <c r="F3" s="7"/>
      <c r="G3" s="7"/>
      <c r="H3" s="7"/>
      <c r="I3" s="7"/>
      <c r="J3" s="7"/>
      <c r="K3" s="6"/>
      <c r="L3" s="9" t="s">
        <v>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5">
      <c r="A4" s="1"/>
      <c r="B4" s="10" t="s">
        <v>3</v>
      </c>
      <c r="C4" s="11">
        <v>2021</v>
      </c>
      <c r="D4" s="10"/>
      <c r="E4" s="10"/>
      <c r="F4" s="10"/>
      <c r="G4" s="10"/>
      <c r="H4" s="10"/>
      <c r="I4" s="10"/>
      <c r="J4" s="10"/>
      <c r="K4" s="1"/>
      <c r="L4" s="10" t="s">
        <v>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0"/>
      <c r="C5" s="12"/>
      <c r="D5" s="10"/>
      <c r="E5" s="10"/>
      <c r="F5" s="10"/>
      <c r="G5" s="10"/>
      <c r="H5" s="10"/>
      <c r="I5" s="10"/>
      <c r="J5" s="10"/>
      <c r="K5" s="1"/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0" t="s">
        <v>5</v>
      </c>
      <c r="C6" s="13">
        <v>60</v>
      </c>
      <c r="D6" s="10"/>
      <c r="E6" s="10"/>
      <c r="F6" s="10"/>
      <c r="G6" s="10"/>
      <c r="H6" s="10"/>
      <c r="I6" s="10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0" t="s">
        <v>6</v>
      </c>
      <c r="C7" s="13">
        <v>1000</v>
      </c>
      <c r="D7" s="1"/>
      <c r="E7" s="10"/>
      <c r="F7" s="10"/>
      <c r="G7" s="10"/>
      <c r="H7" s="10"/>
      <c r="I7" s="10"/>
      <c r="J7" s="10"/>
      <c r="K7" s="1"/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0" t="s">
        <v>7</v>
      </c>
      <c r="C8" s="14"/>
      <c r="D8" s="1"/>
      <c r="E8" s="10"/>
      <c r="F8" s="10"/>
      <c r="G8" s="10"/>
      <c r="H8" s="10"/>
      <c r="I8" s="10"/>
      <c r="J8" s="10"/>
      <c r="K8" s="1"/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0" t="s">
        <v>8</v>
      </c>
      <c r="C9" s="13">
        <v>1200</v>
      </c>
      <c r="D9" s="1"/>
      <c r="E9" s="10"/>
      <c r="F9" s="10"/>
      <c r="G9" s="10"/>
      <c r="H9" s="10"/>
      <c r="I9" s="10"/>
      <c r="J9" s="10"/>
      <c r="K9" s="1"/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0" t="s">
        <v>9</v>
      </c>
      <c r="C10" s="13">
        <v>200</v>
      </c>
      <c r="D10" s="1"/>
      <c r="E10" s="10"/>
      <c r="F10" s="10"/>
      <c r="G10" s="10"/>
      <c r="H10" s="10"/>
      <c r="I10" s="10"/>
      <c r="J10" s="10"/>
      <c r="K10" s="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0" t="s">
        <v>10</v>
      </c>
      <c r="C11" s="14"/>
      <c r="D11" s="1"/>
      <c r="E11" s="10"/>
      <c r="F11" s="10"/>
      <c r="G11" s="10"/>
      <c r="H11" s="10"/>
      <c r="I11" s="10"/>
      <c r="J11" s="10"/>
      <c r="K11" s="1"/>
      <c r="L11" s="10" t="s">
        <v>11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0" t="s">
        <v>12</v>
      </c>
      <c r="C12" s="5"/>
      <c r="D12" s="1"/>
      <c r="E12" s="10"/>
      <c r="F12" s="10"/>
      <c r="G12" s="10"/>
      <c r="H12" s="10"/>
      <c r="I12" s="10"/>
      <c r="J12" s="10"/>
      <c r="K12" s="1"/>
      <c r="L12" s="15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0"/>
      <c r="C13" s="5"/>
      <c r="D13" s="1"/>
      <c r="E13" s="10"/>
      <c r="F13" s="10"/>
      <c r="G13" s="10"/>
      <c r="H13" s="10"/>
      <c r="I13" s="10"/>
      <c r="J13" s="10"/>
      <c r="K13" s="1"/>
      <c r="L13" s="1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0" t="s">
        <v>14</v>
      </c>
      <c r="C14" s="13">
        <v>12000</v>
      </c>
      <c r="D14" s="1"/>
      <c r="E14" s="10"/>
      <c r="F14" s="10"/>
      <c r="G14" s="10"/>
      <c r="H14" s="10"/>
      <c r="I14" s="10"/>
      <c r="J14" s="10"/>
      <c r="K14" s="1"/>
      <c r="L14" s="1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0" t="s">
        <v>15</v>
      </c>
      <c r="C15" s="13">
        <v>4800</v>
      </c>
      <c r="D15" s="1"/>
      <c r="E15" s="10"/>
      <c r="F15" s="10"/>
      <c r="G15" s="10"/>
      <c r="H15" s="10"/>
      <c r="I15" s="10"/>
      <c r="J15" s="10"/>
      <c r="K15" s="1"/>
      <c r="L15" s="1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0" t="s">
        <v>16</v>
      </c>
      <c r="C16" s="13">
        <v>960</v>
      </c>
      <c r="D16" s="1"/>
      <c r="E16" s="10"/>
      <c r="F16" s="10"/>
      <c r="G16" s="10"/>
      <c r="H16" s="10"/>
      <c r="I16" s="10"/>
      <c r="J16" s="10"/>
      <c r="K16" s="1"/>
      <c r="L16" s="1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"/>
      <c r="C17" s="5"/>
      <c r="D17" s="1"/>
      <c r="E17" s="10"/>
      <c r="F17" s="10"/>
      <c r="G17" s="10"/>
      <c r="H17" s="10"/>
      <c r="I17" s="10"/>
      <c r="J17" s="10"/>
      <c r="K17" s="1"/>
      <c r="L17" s="1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0" t="s">
        <v>17</v>
      </c>
      <c r="C18" s="5"/>
      <c r="D18" s="1"/>
      <c r="E18" s="10"/>
      <c r="F18" s="10"/>
      <c r="G18" s="10"/>
      <c r="H18" s="10"/>
      <c r="I18" s="10"/>
      <c r="J18" s="10"/>
      <c r="K18" s="1"/>
      <c r="L18" s="1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0"/>
      <c r="C19" s="5"/>
      <c r="D19" s="1"/>
      <c r="E19" s="10"/>
      <c r="F19" s="10"/>
      <c r="G19" s="10"/>
      <c r="H19" s="10"/>
      <c r="I19" s="10"/>
      <c r="J19" s="10"/>
      <c r="K19" s="1"/>
      <c r="L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7" t="s">
        <v>18</v>
      </c>
      <c r="C20" s="8"/>
      <c r="D20" s="7"/>
      <c r="E20" s="7"/>
      <c r="F20" s="7"/>
      <c r="G20" s="7"/>
      <c r="H20" s="7"/>
      <c r="I20" s="7"/>
      <c r="J20" s="7"/>
      <c r="K20" s="1"/>
      <c r="L20" s="1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0" t="s">
        <v>19</v>
      </c>
      <c r="C21" s="11">
        <v>2025</v>
      </c>
      <c r="D21" s="1"/>
      <c r="E21" s="10"/>
      <c r="F21" s="10"/>
      <c r="G21" s="10"/>
      <c r="H21" s="10"/>
      <c r="I21" s="10"/>
      <c r="J21" s="10"/>
      <c r="K21" s="1"/>
      <c r="L21" s="10" t="s">
        <v>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5"/>
      <c r="D22" s="1"/>
      <c r="E22" s="10"/>
      <c r="F22" s="10"/>
      <c r="G22" s="10"/>
      <c r="H22" s="10"/>
      <c r="I22" s="10"/>
      <c r="J22" s="10"/>
      <c r="K22" s="1"/>
      <c r="L22" s="1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0" t="s">
        <v>20</v>
      </c>
      <c r="C23" s="13">
        <v>12</v>
      </c>
      <c r="D23" s="1"/>
      <c r="E23" s="10"/>
      <c r="F23" s="10"/>
      <c r="G23" s="10"/>
      <c r="H23" s="10"/>
      <c r="I23" s="10"/>
      <c r="J23" s="10"/>
      <c r="K23" s="1"/>
      <c r="L23" s="10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0" t="s">
        <v>22</v>
      </c>
      <c r="C24" s="13">
        <v>100</v>
      </c>
      <c r="D24" s="1"/>
      <c r="E24" s="1"/>
      <c r="F24" s="1"/>
      <c r="G24" s="1"/>
      <c r="H24" s="1"/>
      <c r="I24" s="1"/>
      <c r="J24" s="1"/>
      <c r="K24" s="1"/>
      <c r="L24" s="10" t="s">
        <v>23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5"/>
      <c r="D25" s="1"/>
      <c r="E25" s="1"/>
      <c r="F25" s="1"/>
      <c r="G25" s="1"/>
      <c r="H25" s="1"/>
      <c r="I25" s="1"/>
      <c r="J25" s="1"/>
      <c r="K25" s="1"/>
      <c r="L25" s="1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0" t="s">
        <v>24</v>
      </c>
      <c r="C26" s="5"/>
      <c r="D26" s="1"/>
      <c r="E26" s="1"/>
      <c r="F26" s="1"/>
      <c r="G26" s="1"/>
      <c r="H26" s="1"/>
      <c r="I26" s="1"/>
      <c r="J26" s="1"/>
      <c r="K26" s="1"/>
      <c r="L26" s="10" t="s">
        <v>25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0" t="s">
        <v>26</v>
      </c>
      <c r="C27" s="12">
        <v>0.25</v>
      </c>
      <c r="D27" s="1"/>
      <c r="E27" s="1"/>
      <c r="F27" s="1"/>
      <c r="G27" s="1"/>
      <c r="H27" s="1"/>
      <c r="I27" s="1"/>
      <c r="J27" s="1"/>
      <c r="K27" s="1"/>
      <c r="L27" s="10" t="s">
        <v>27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0"/>
      <c r="C28" s="1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7" t="s">
        <v>1</v>
      </c>
      <c r="C29" s="16"/>
      <c r="D29" s="7"/>
      <c r="E29" s="7"/>
      <c r="F29" s="7"/>
      <c r="G29" s="17"/>
      <c r="H29" s="17"/>
      <c r="I29" s="17"/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8"/>
      <c r="C30" s="19"/>
      <c r="D30" s="70" t="s">
        <v>28</v>
      </c>
      <c r="E30" s="71"/>
      <c r="F30" s="71"/>
      <c r="G30" s="71"/>
      <c r="H30" s="71"/>
      <c r="I30" s="71"/>
      <c r="J30" s="7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20"/>
      <c r="B31" s="21"/>
      <c r="C31" s="22">
        <f>C4</f>
        <v>2021</v>
      </c>
      <c r="D31" s="22">
        <f t="shared" ref="D31:J31" si="0">C31+1</f>
        <v>2022</v>
      </c>
      <c r="E31" s="22">
        <f t="shared" si="0"/>
        <v>2023</v>
      </c>
      <c r="F31" s="22">
        <f t="shared" si="0"/>
        <v>2024</v>
      </c>
      <c r="G31" s="22">
        <f t="shared" si="0"/>
        <v>2025</v>
      </c>
      <c r="H31" s="22">
        <f t="shared" si="0"/>
        <v>2026</v>
      </c>
      <c r="I31" s="22">
        <f t="shared" si="0"/>
        <v>2027</v>
      </c>
      <c r="J31" s="22">
        <f t="shared" si="0"/>
        <v>2028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23"/>
      <c r="B32" s="10" t="s">
        <v>29</v>
      </c>
      <c r="C32" s="14">
        <f>C14</f>
        <v>12000</v>
      </c>
      <c r="D32" s="24"/>
      <c r="E32" s="24"/>
      <c r="F32" s="24"/>
      <c r="G32" s="24"/>
      <c r="H32" s="24"/>
      <c r="I32" s="24"/>
      <c r="J32" s="2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23"/>
      <c r="B33" s="25" t="s">
        <v>30</v>
      </c>
      <c r="C33" s="26">
        <v>0.1</v>
      </c>
      <c r="D33" s="27"/>
      <c r="E33" s="27"/>
      <c r="F33" s="27"/>
      <c r="G33" s="27"/>
      <c r="H33" s="27"/>
      <c r="I33" s="27"/>
      <c r="J33" s="2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23"/>
      <c r="B34" s="10"/>
      <c r="C34" s="12"/>
      <c r="D34" s="28"/>
      <c r="E34" s="28"/>
      <c r="F34" s="28"/>
      <c r="G34" s="28"/>
      <c r="H34" s="28"/>
      <c r="I34" s="28"/>
      <c r="J34" s="2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23"/>
      <c r="B35" s="10" t="s">
        <v>31</v>
      </c>
      <c r="C35" s="14">
        <f>C15</f>
        <v>4800</v>
      </c>
      <c r="D35" s="29"/>
      <c r="E35" s="29"/>
      <c r="F35" s="29"/>
      <c r="G35" s="29"/>
      <c r="H35" s="29"/>
      <c r="I35" s="29"/>
      <c r="J35" s="29"/>
      <c r="K35" s="1"/>
      <c r="L35" s="1" t="s">
        <v>32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23"/>
      <c r="B36" s="25" t="s">
        <v>33</v>
      </c>
      <c r="C36" s="30">
        <v>0.4</v>
      </c>
      <c r="D36" s="27"/>
      <c r="E36" s="27"/>
      <c r="F36" s="27"/>
      <c r="G36" s="27"/>
      <c r="H36" s="27"/>
      <c r="I36" s="27"/>
      <c r="J36" s="2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23"/>
      <c r="B37" s="10"/>
      <c r="C37" s="14"/>
      <c r="D37" s="27"/>
      <c r="E37" s="27"/>
      <c r="F37" s="27"/>
      <c r="G37" s="27"/>
      <c r="H37" s="27"/>
      <c r="I37" s="27"/>
      <c r="J37" s="2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23"/>
      <c r="B38" s="10" t="s">
        <v>34</v>
      </c>
      <c r="C38" s="14">
        <f>C16</f>
        <v>960</v>
      </c>
      <c r="D38" s="31"/>
      <c r="E38" s="31"/>
      <c r="F38" s="31"/>
      <c r="G38" s="31"/>
      <c r="H38" s="31"/>
      <c r="I38" s="31"/>
      <c r="J38" s="31"/>
      <c r="K38" s="1"/>
      <c r="L38" s="1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23"/>
      <c r="B39" s="25" t="s">
        <v>35</v>
      </c>
      <c r="C39" s="30">
        <v>0.08</v>
      </c>
      <c r="D39" s="27"/>
      <c r="E39" s="27"/>
      <c r="F39" s="27"/>
      <c r="G39" s="27"/>
      <c r="H39" s="27"/>
      <c r="I39" s="27"/>
      <c r="J39" s="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23"/>
      <c r="B40" s="10"/>
      <c r="C40" s="14"/>
      <c r="D40" s="27"/>
      <c r="E40" s="27"/>
      <c r="F40" s="27"/>
      <c r="G40" s="27"/>
      <c r="H40" s="27"/>
      <c r="I40" s="27"/>
      <c r="J40" s="2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23"/>
      <c r="B41" s="10" t="s">
        <v>36</v>
      </c>
      <c r="C41" s="14">
        <f>C10</f>
        <v>200</v>
      </c>
      <c r="D41" s="29"/>
      <c r="E41" s="29"/>
      <c r="F41" s="29"/>
      <c r="G41" s="29"/>
      <c r="H41" s="29"/>
      <c r="I41" s="29"/>
      <c r="J41" s="29"/>
      <c r="K41" s="1"/>
      <c r="L41" s="1" t="s">
        <v>37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23"/>
      <c r="B42" s="32" t="s">
        <v>38</v>
      </c>
      <c r="C42" s="33">
        <f>C9</f>
        <v>1200</v>
      </c>
      <c r="D42" s="34"/>
      <c r="E42" s="34"/>
      <c r="F42" s="34"/>
      <c r="G42" s="34"/>
      <c r="H42" s="34"/>
      <c r="I42" s="34"/>
      <c r="J42" s="34"/>
      <c r="K42" s="1"/>
      <c r="L42" s="1" t="s">
        <v>39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23"/>
      <c r="B43" s="10" t="s">
        <v>40</v>
      </c>
      <c r="C43" s="14">
        <f>C42-C41</f>
        <v>1000</v>
      </c>
      <c r="D43" s="35"/>
      <c r="E43" s="35"/>
      <c r="F43" s="35"/>
      <c r="G43" s="35"/>
      <c r="H43" s="35"/>
      <c r="I43" s="35"/>
      <c r="J43" s="35"/>
      <c r="K43" s="1"/>
      <c r="L43" s="10" t="s">
        <v>11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0"/>
      <c r="C44" s="1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7" t="s">
        <v>41</v>
      </c>
      <c r="C45" s="16"/>
      <c r="D45" s="7"/>
      <c r="E45" s="7"/>
      <c r="F45" s="7"/>
      <c r="G45" s="17"/>
      <c r="H45" s="17"/>
      <c r="I45" s="17"/>
      <c r="J45" s="1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8"/>
      <c r="C46" s="19"/>
      <c r="D46" s="70" t="s">
        <v>28</v>
      </c>
      <c r="E46" s="71"/>
      <c r="F46" s="71"/>
      <c r="G46" s="71"/>
      <c r="H46" s="71"/>
      <c r="I46" s="71"/>
      <c r="J46" s="7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20"/>
      <c r="B47" s="20"/>
      <c r="C47" s="36"/>
      <c r="D47" s="36">
        <f t="shared" ref="D47:J47" si="1">D31</f>
        <v>2022</v>
      </c>
      <c r="E47" s="36">
        <f t="shared" si="1"/>
        <v>2023</v>
      </c>
      <c r="F47" s="36">
        <f t="shared" si="1"/>
        <v>2024</v>
      </c>
      <c r="G47" s="36">
        <f t="shared" si="1"/>
        <v>2025</v>
      </c>
      <c r="H47" s="36">
        <f t="shared" si="1"/>
        <v>2026</v>
      </c>
      <c r="I47" s="36">
        <f t="shared" si="1"/>
        <v>2027</v>
      </c>
      <c r="J47" s="36">
        <f t="shared" si="1"/>
        <v>2028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1"/>
      <c r="B48" s="10" t="s">
        <v>42</v>
      </c>
      <c r="C48" s="12"/>
      <c r="D48" s="37"/>
      <c r="E48" s="38"/>
      <c r="F48" s="38"/>
      <c r="G48" s="38"/>
      <c r="H48" s="38"/>
      <c r="I48" s="38"/>
      <c r="J48" s="38"/>
      <c r="K48" s="1"/>
      <c r="L48" s="1" t="s">
        <v>43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5" t="s">
        <v>44</v>
      </c>
      <c r="C49" s="12"/>
      <c r="D49" s="39">
        <v>-1000</v>
      </c>
      <c r="E49" s="39">
        <v>-1000</v>
      </c>
      <c r="F49" s="39">
        <v>-1000</v>
      </c>
      <c r="G49" s="39">
        <v>-1000</v>
      </c>
      <c r="H49" s="39">
        <v>-1000</v>
      </c>
      <c r="I49" s="39">
        <v>-1000</v>
      </c>
      <c r="J49" s="39">
        <v>-1000</v>
      </c>
      <c r="K49" s="1"/>
      <c r="L49" s="1" t="s">
        <v>45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40" t="s">
        <v>46</v>
      </c>
      <c r="C50" s="41"/>
      <c r="D50" s="42"/>
      <c r="E50" s="42"/>
      <c r="F50" s="42"/>
      <c r="G50" s="42"/>
      <c r="H50" s="42"/>
      <c r="I50" s="42"/>
      <c r="J50" s="42"/>
      <c r="K50" s="1"/>
      <c r="L50" s="1" t="s">
        <v>47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0" t="s">
        <v>48</v>
      </c>
      <c r="C51" s="12"/>
      <c r="D51" s="38"/>
      <c r="E51" s="38"/>
      <c r="F51" s="38"/>
      <c r="G51" s="38"/>
      <c r="H51" s="38"/>
      <c r="I51" s="38"/>
      <c r="J51" s="3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0"/>
      <c r="C52" s="1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43" t="s">
        <v>49</v>
      </c>
      <c r="C53" s="12"/>
      <c r="D53" s="1"/>
      <c r="E53" s="1"/>
      <c r="F53" s="1"/>
      <c r="G53" s="1"/>
      <c r="H53" s="1"/>
      <c r="I53" s="1"/>
      <c r="J53" s="1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44" t="s">
        <v>50</v>
      </c>
      <c r="C54" s="12"/>
      <c r="D54" s="1"/>
      <c r="E54" s="1"/>
      <c r="F54" s="1"/>
      <c r="G54" s="1"/>
      <c r="H54" s="1"/>
      <c r="I54" s="10"/>
      <c r="J54" s="45"/>
      <c r="K54" s="10"/>
      <c r="L54" s="4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44" t="s">
        <v>51</v>
      </c>
      <c r="C55" s="12"/>
      <c r="D55" s="1"/>
      <c r="E55" s="1"/>
      <c r="F55" s="1"/>
      <c r="G55" s="1"/>
      <c r="H55" s="1"/>
      <c r="I55" s="10"/>
      <c r="J55" s="45"/>
      <c r="K55" s="10"/>
      <c r="L55" s="4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44" t="s">
        <v>52</v>
      </c>
      <c r="C56" s="12"/>
      <c r="D56" s="1"/>
      <c r="E56" s="1"/>
      <c r="F56" s="1"/>
      <c r="G56" s="1"/>
      <c r="H56" s="1"/>
      <c r="I56" s="10"/>
      <c r="J56" s="45"/>
      <c r="K56" s="1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0"/>
      <c r="C57" s="12"/>
      <c r="D57" s="1"/>
      <c r="E57" s="1"/>
      <c r="F57" s="1"/>
      <c r="G57" s="1"/>
      <c r="H57" s="1"/>
      <c r="I57" s="1"/>
      <c r="J57" s="1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43" t="s">
        <v>49</v>
      </c>
      <c r="C58" s="1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44" t="s">
        <v>53</v>
      </c>
      <c r="C59" s="5"/>
      <c r="D59" s="1"/>
      <c r="E59" s="1"/>
      <c r="F59" s="1"/>
      <c r="G59" s="1"/>
      <c r="H59" s="1"/>
      <c r="I59" s="1"/>
      <c r="J59" s="4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44" t="s">
        <v>54</v>
      </c>
      <c r="C60" s="5"/>
      <c r="D60" s="1"/>
      <c r="E60" s="1"/>
      <c r="F60" s="1"/>
      <c r="G60" s="1"/>
      <c r="H60" s="1"/>
      <c r="I60" s="1"/>
      <c r="J60" s="4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25">
      <c r="A61" s="1"/>
      <c r="B61" s="44" t="s">
        <v>55</v>
      </c>
      <c r="C61" s="5"/>
      <c r="D61" s="1"/>
      <c r="E61" s="1"/>
      <c r="F61" s="1"/>
      <c r="G61" s="1"/>
      <c r="H61" s="1"/>
      <c r="I61" s="1"/>
      <c r="J61" s="4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30:J30"/>
    <mergeCell ref="D46:J4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/>
  </sheetViews>
  <sheetFormatPr defaultColWidth="14.44140625" defaultRowHeight="15" customHeight="1" x14ac:dyDescent="0.25"/>
  <cols>
    <col min="1" max="1" width="2.109375" customWidth="1"/>
    <col min="2" max="2" width="38.88671875" customWidth="1"/>
    <col min="3" max="3" width="10.88671875" customWidth="1"/>
    <col min="4" max="4" width="9.44140625" customWidth="1"/>
    <col min="5" max="5" width="9.33203125" customWidth="1"/>
    <col min="6" max="6" width="9.88671875" customWidth="1"/>
    <col min="7" max="7" width="9.33203125" customWidth="1"/>
    <col min="8" max="9" width="9.21875" bestFit="1" customWidth="1"/>
    <col min="10" max="10" width="9.33203125" customWidth="1"/>
    <col min="11" max="11" width="2.109375" customWidth="1"/>
    <col min="12" max="12" width="9.6640625" customWidth="1"/>
    <col min="13" max="26" width="8.6640625" customWidth="1"/>
  </cols>
  <sheetData>
    <row r="1" spans="1:26" ht="25.2" x14ac:dyDescent="0.45">
      <c r="A1" s="1"/>
      <c r="B1" s="49" t="s">
        <v>56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59"/>
      <c r="B3" s="60" t="s">
        <v>1</v>
      </c>
      <c r="C3" s="61"/>
      <c r="D3" s="60"/>
      <c r="E3" s="60"/>
      <c r="F3" s="60"/>
      <c r="G3" s="60"/>
      <c r="H3" s="60"/>
      <c r="I3" s="60"/>
      <c r="J3" s="60"/>
      <c r="K3" s="62"/>
      <c r="L3" s="63" t="s">
        <v>2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4"/>
    </row>
    <row r="4" spans="1:26" ht="12.75" customHeight="1" x14ac:dyDescent="0.25">
      <c r="A4" s="1"/>
      <c r="B4" s="10" t="s">
        <v>3</v>
      </c>
      <c r="C4" s="50">
        <v>2021</v>
      </c>
      <c r="D4" s="10"/>
      <c r="E4" s="10"/>
      <c r="F4" s="10"/>
      <c r="G4" s="10"/>
      <c r="H4" s="10"/>
      <c r="I4" s="10"/>
      <c r="J4" s="10"/>
      <c r="K4" s="1"/>
      <c r="L4" s="10" t="s">
        <v>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0"/>
      <c r="C5" s="12"/>
      <c r="D5" s="10"/>
      <c r="E5" s="10"/>
      <c r="F5" s="10"/>
      <c r="G5" s="10"/>
      <c r="H5" s="10"/>
      <c r="I5" s="10"/>
      <c r="J5" s="10"/>
      <c r="K5" s="1"/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0" t="s">
        <v>5</v>
      </c>
      <c r="C6" s="51">
        <v>60</v>
      </c>
      <c r="D6" s="10"/>
      <c r="E6" s="10"/>
      <c r="F6" s="10"/>
      <c r="G6" s="10"/>
      <c r="H6" s="10"/>
      <c r="I6" s="10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0" t="s">
        <v>6</v>
      </c>
      <c r="C7" s="51">
        <v>1000</v>
      </c>
      <c r="D7" s="1"/>
      <c r="E7" s="10"/>
      <c r="F7" s="10"/>
      <c r="G7" s="10"/>
      <c r="H7" s="10"/>
      <c r="I7" s="10"/>
      <c r="J7" s="10"/>
      <c r="K7" s="1"/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0" t="s">
        <v>7</v>
      </c>
      <c r="C8" s="14">
        <f>C6*C7</f>
        <v>60000</v>
      </c>
      <c r="D8" s="1"/>
      <c r="E8" s="10"/>
      <c r="F8" s="10"/>
      <c r="G8" s="10"/>
      <c r="H8" s="10"/>
      <c r="I8" s="10"/>
      <c r="J8" s="10"/>
      <c r="K8" s="1"/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0" t="s">
        <v>8</v>
      </c>
      <c r="C9" s="51">
        <v>1200</v>
      </c>
      <c r="D9" s="1"/>
      <c r="E9" s="10"/>
      <c r="F9" s="10"/>
      <c r="G9" s="10"/>
      <c r="H9" s="10"/>
      <c r="I9" s="10"/>
      <c r="J9" s="10"/>
      <c r="K9" s="1"/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0" t="s">
        <v>9</v>
      </c>
      <c r="C10" s="51">
        <v>200</v>
      </c>
      <c r="D10" s="1"/>
      <c r="E10" s="10"/>
      <c r="F10" s="10"/>
      <c r="G10" s="10"/>
      <c r="H10" s="10"/>
      <c r="I10" s="10"/>
      <c r="J10" s="10"/>
      <c r="K10" s="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0" t="s">
        <v>10</v>
      </c>
      <c r="C11" s="14">
        <f>C9-C10</f>
        <v>1000</v>
      </c>
      <c r="D11" s="1"/>
      <c r="E11" s="10"/>
      <c r="F11" s="10"/>
      <c r="G11" s="10"/>
      <c r="H11" s="10"/>
      <c r="I11" s="10"/>
      <c r="J11" s="10"/>
      <c r="K11" s="1"/>
      <c r="L11" s="10" t="s">
        <v>11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0" t="s">
        <v>12</v>
      </c>
      <c r="C12" s="5">
        <f>C8+C11</f>
        <v>61000</v>
      </c>
      <c r="D12" s="1"/>
      <c r="E12" s="10"/>
      <c r="F12" s="10"/>
      <c r="G12" s="10"/>
      <c r="H12" s="10"/>
      <c r="I12" s="10"/>
      <c r="J12" s="10"/>
      <c r="K12" s="1"/>
      <c r="L12" s="15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0"/>
      <c r="C13" s="5"/>
      <c r="D13" s="1"/>
      <c r="E13" s="10"/>
      <c r="F13" s="10"/>
      <c r="G13" s="10"/>
      <c r="H13" s="10"/>
      <c r="I13" s="10"/>
      <c r="J13" s="10"/>
      <c r="K13" s="1"/>
      <c r="L13" s="1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0" t="s">
        <v>14</v>
      </c>
      <c r="C14" s="51">
        <v>12000</v>
      </c>
      <c r="D14" s="1"/>
      <c r="E14" s="10"/>
      <c r="F14" s="10"/>
      <c r="G14" s="10"/>
      <c r="H14" s="10"/>
      <c r="I14" s="10"/>
      <c r="J14" s="10"/>
      <c r="K14" s="1"/>
      <c r="L14" s="1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0" t="s">
        <v>15</v>
      </c>
      <c r="C15" s="51">
        <v>4800</v>
      </c>
      <c r="D15" s="1"/>
      <c r="E15" s="10"/>
      <c r="F15" s="10"/>
      <c r="G15" s="10"/>
      <c r="H15" s="10"/>
      <c r="I15" s="10"/>
      <c r="J15" s="10"/>
      <c r="K15" s="1"/>
      <c r="L15" s="1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0" t="s">
        <v>16</v>
      </c>
      <c r="C16" s="51">
        <v>960</v>
      </c>
      <c r="D16" s="1"/>
      <c r="E16" s="10"/>
      <c r="F16" s="10"/>
      <c r="G16" s="10"/>
      <c r="H16" s="10"/>
      <c r="I16" s="10"/>
      <c r="J16" s="10"/>
      <c r="K16" s="1"/>
      <c r="L16" s="1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"/>
      <c r="C17" s="5"/>
      <c r="D17" s="1"/>
      <c r="E17" s="10"/>
      <c r="F17" s="10"/>
      <c r="G17" s="10"/>
      <c r="H17" s="10"/>
      <c r="I17" s="10"/>
      <c r="J17" s="10"/>
      <c r="K17" s="1"/>
      <c r="L17" s="1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0" t="s">
        <v>17</v>
      </c>
      <c r="C18" s="79">
        <f>C12/C15</f>
        <v>12.708333333333334</v>
      </c>
      <c r="D18" s="1"/>
      <c r="E18" s="10"/>
      <c r="F18" s="10"/>
      <c r="G18" s="10"/>
      <c r="H18" s="10"/>
      <c r="I18" s="10"/>
      <c r="J18" s="10"/>
      <c r="K18" s="1"/>
      <c r="L18" s="1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0"/>
      <c r="C19" s="5"/>
      <c r="D19" s="1"/>
      <c r="E19" s="10"/>
      <c r="F19" s="10"/>
      <c r="G19" s="10"/>
      <c r="H19" s="10"/>
      <c r="I19" s="10"/>
      <c r="J19" s="10"/>
      <c r="K19" s="1"/>
      <c r="L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59"/>
      <c r="B20" s="60" t="s">
        <v>18</v>
      </c>
      <c r="C20" s="61"/>
      <c r="D20" s="60"/>
      <c r="E20" s="60"/>
      <c r="F20" s="60"/>
      <c r="G20" s="60"/>
      <c r="H20" s="60"/>
      <c r="I20" s="60"/>
      <c r="J20" s="60"/>
      <c r="K20" s="62"/>
      <c r="L20" s="65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4"/>
    </row>
    <row r="21" spans="1:26" ht="12.75" customHeight="1" x14ac:dyDescent="0.25">
      <c r="A21" s="1"/>
      <c r="B21" s="10" t="s">
        <v>19</v>
      </c>
      <c r="C21" s="51">
        <v>2025</v>
      </c>
      <c r="D21" s="1"/>
      <c r="E21" s="10"/>
      <c r="F21" s="10"/>
      <c r="G21" s="10"/>
      <c r="H21" s="10"/>
      <c r="I21" s="10"/>
      <c r="J21" s="10"/>
      <c r="K21" s="1"/>
      <c r="L21" s="10" t="s">
        <v>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5"/>
      <c r="D22" s="1"/>
      <c r="E22" s="10"/>
      <c r="F22" s="10"/>
      <c r="G22" s="10"/>
      <c r="H22" s="10"/>
      <c r="I22" s="10"/>
      <c r="J22" s="10"/>
      <c r="K22" s="1"/>
      <c r="L22" s="1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0" t="s">
        <v>20</v>
      </c>
      <c r="C23" s="51">
        <v>12</v>
      </c>
      <c r="D23" s="1"/>
      <c r="E23" s="10"/>
      <c r="F23" s="10"/>
      <c r="G23" s="10"/>
      <c r="H23" s="10"/>
      <c r="I23" s="10"/>
      <c r="J23" s="10"/>
      <c r="K23" s="1"/>
      <c r="L23" s="10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0" t="s">
        <v>22</v>
      </c>
      <c r="C24" s="51">
        <v>100</v>
      </c>
      <c r="D24" s="1"/>
      <c r="E24" s="1"/>
      <c r="F24" s="1"/>
      <c r="G24" s="1"/>
      <c r="H24" s="1"/>
      <c r="I24" s="1"/>
      <c r="J24" s="1"/>
      <c r="K24" s="1"/>
      <c r="L24" s="10" t="s">
        <v>23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5"/>
      <c r="D25" s="1"/>
      <c r="E25" s="1"/>
      <c r="F25" s="1"/>
      <c r="G25" s="1"/>
      <c r="H25" s="1"/>
      <c r="I25" s="1"/>
      <c r="J25" s="1"/>
      <c r="K25" s="1"/>
      <c r="L25" s="1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0" t="s">
        <v>24</v>
      </c>
      <c r="C26" s="5">
        <f>C18</f>
        <v>12.708333333333334</v>
      </c>
      <c r="D26" s="1"/>
      <c r="E26" s="1"/>
      <c r="F26" s="1"/>
      <c r="G26" s="1"/>
      <c r="H26" s="1"/>
      <c r="I26" s="1"/>
      <c r="J26" s="1"/>
      <c r="K26" s="1"/>
      <c r="L26" s="10" t="s">
        <v>25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0" t="s">
        <v>26</v>
      </c>
      <c r="C27" s="77">
        <v>0.25</v>
      </c>
      <c r="D27" s="1"/>
      <c r="E27" s="1"/>
      <c r="F27" s="1"/>
      <c r="G27" s="1"/>
      <c r="H27" s="1"/>
      <c r="I27" s="1"/>
      <c r="J27" s="1"/>
      <c r="K27" s="1"/>
      <c r="L27" s="10" t="s">
        <v>27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0"/>
      <c r="C28" s="1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66" t="s">
        <v>1</v>
      </c>
      <c r="C29" s="61"/>
      <c r="D29" s="60"/>
      <c r="E29" s="60"/>
      <c r="F29" s="60"/>
      <c r="G29" s="60"/>
      <c r="H29" s="60"/>
      <c r="I29" s="60"/>
      <c r="J29" s="67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66"/>
      <c r="C30" s="69"/>
      <c r="D30" s="73" t="s">
        <v>28</v>
      </c>
      <c r="E30" s="74"/>
      <c r="F30" s="74"/>
      <c r="G30" s="74"/>
      <c r="H30" s="74"/>
      <c r="I30" s="74"/>
      <c r="J30" s="75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52"/>
      <c r="B31" s="68"/>
      <c r="C31" s="36">
        <f>C4</f>
        <v>2021</v>
      </c>
      <c r="D31" s="54">
        <f t="shared" ref="D31:J31" si="0">C31+1</f>
        <v>2022</v>
      </c>
      <c r="E31" s="54">
        <f t="shared" si="0"/>
        <v>2023</v>
      </c>
      <c r="F31" s="54">
        <f t="shared" si="0"/>
        <v>2024</v>
      </c>
      <c r="G31" s="54">
        <f t="shared" si="0"/>
        <v>2025</v>
      </c>
      <c r="H31" s="54">
        <f t="shared" si="0"/>
        <v>2026</v>
      </c>
      <c r="I31" s="54">
        <f t="shared" si="0"/>
        <v>2027</v>
      </c>
      <c r="J31" s="54">
        <f t="shared" si="0"/>
        <v>2028</v>
      </c>
      <c r="K31" s="20"/>
      <c r="L31" s="55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23"/>
      <c r="B32" s="10" t="s">
        <v>29</v>
      </c>
      <c r="C32" s="14">
        <f>C14</f>
        <v>12000</v>
      </c>
      <c r="D32" s="24">
        <f t="shared" ref="D32:J32" si="1">C32*(1+D33)</f>
        <v>13200.000000000002</v>
      </c>
      <c r="E32" s="24">
        <f t="shared" si="1"/>
        <v>14520.000000000004</v>
      </c>
      <c r="F32" s="24">
        <f t="shared" si="1"/>
        <v>15972.000000000005</v>
      </c>
      <c r="G32" s="24">
        <f t="shared" si="1"/>
        <v>17569.200000000008</v>
      </c>
      <c r="H32" s="24">
        <f t="shared" si="1"/>
        <v>19326.12000000001</v>
      </c>
      <c r="I32" s="24">
        <f t="shared" si="1"/>
        <v>21258.732000000011</v>
      </c>
      <c r="J32" s="24">
        <f t="shared" si="1"/>
        <v>23384.605200000013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23"/>
      <c r="B33" s="25" t="s">
        <v>30</v>
      </c>
      <c r="C33" s="12"/>
      <c r="D33" s="27">
        <v>0.1</v>
      </c>
      <c r="E33" s="27">
        <v>0.1</v>
      </c>
      <c r="F33" s="27">
        <v>0.1</v>
      </c>
      <c r="G33" s="27">
        <v>0.1</v>
      </c>
      <c r="H33" s="27">
        <v>0.1</v>
      </c>
      <c r="I33" s="27">
        <v>0.1</v>
      </c>
      <c r="J33" s="27">
        <v>0.1</v>
      </c>
      <c r="K33" s="1"/>
      <c r="L33" s="1" t="s">
        <v>32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23"/>
      <c r="B34" s="10"/>
      <c r="C34" s="12"/>
      <c r="D34" s="28"/>
      <c r="E34" s="28"/>
      <c r="F34" s="28"/>
      <c r="G34" s="28"/>
      <c r="H34" s="28"/>
      <c r="I34" s="28"/>
      <c r="J34" s="2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23"/>
      <c r="B35" s="10" t="s">
        <v>31</v>
      </c>
      <c r="C35" s="14">
        <f>C15</f>
        <v>4800</v>
      </c>
      <c r="D35" s="29">
        <f t="shared" ref="D35:J35" si="2">D32*D36</f>
        <v>5280.0000000000009</v>
      </c>
      <c r="E35" s="29">
        <f t="shared" si="2"/>
        <v>5808.0000000000018</v>
      </c>
      <c r="F35" s="29">
        <f t="shared" si="2"/>
        <v>6388.8000000000029</v>
      </c>
      <c r="G35" s="29">
        <f t="shared" si="2"/>
        <v>7027.6800000000039</v>
      </c>
      <c r="H35" s="29">
        <f t="shared" si="2"/>
        <v>7730.448000000004</v>
      </c>
      <c r="I35" s="29">
        <f t="shared" si="2"/>
        <v>8503.4928000000054</v>
      </c>
      <c r="J35" s="29">
        <f t="shared" si="2"/>
        <v>9353.8420800000058</v>
      </c>
      <c r="K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23"/>
      <c r="B36" s="25" t="s">
        <v>33</v>
      </c>
      <c r="C36" s="14">
        <f>C35/C$32</f>
        <v>0.4</v>
      </c>
      <c r="D36" s="56">
        <v>0.4</v>
      </c>
      <c r="E36" s="56">
        <v>0.4</v>
      </c>
      <c r="F36" s="56">
        <v>0.4</v>
      </c>
      <c r="G36" s="56">
        <v>0.4</v>
      </c>
      <c r="H36" s="56">
        <v>0.4</v>
      </c>
      <c r="I36" s="56">
        <v>0.4</v>
      </c>
      <c r="J36" s="56">
        <v>0.4</v>
      </c>
      <c r="K36" s="1"/>
      <c r="L36" s="1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23"/>
      <c r="B37" s="10"/>
      <c r="C37" s="14"/>
      <c r="D37" s="27"/>
      <c r="E37" s="27"/>
      <c r="F37" s="27"/>
      <c r="G37" s="27"/>
      <c r="H37" s="27"/>
      <c r="I37" s="27"/>
      <c r="J37" s="2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23"/>
      <c r="B38" s="10" t="s">
        <v>34</v>
      </c>
      <c r="C38" s="14">
        <f>C16</f>
        <v>960</v>
      </c>
      <c r="D38" s="31">
        <f t="shared" ref="D38:J38" si="3">D32*D39</f>
        <v>1056.0000000000002</v>
      </c>
      <c r="E38" s="31">
        <f t="shared" si="3"/>
        <v>1161.6000000000004</v>
      </c>
      <c r="F38" s="31">
        <f t="shared" si="3"/>
        <v>1277.7600000000004</v>
      </c>
      <c r="G38" s="31">
        <f t="shared" si="3"/>
        <v>1405.5360000000007</v>
      </c>
      <c r="H38" s="31">
        <f t="shared" si="3"/>
        <v>1546.0896000000009</v>
      </c>
      <c r="I38" s="31">
        <f t="shared" si="3"/>
        <v>1700.698560000001</v>
      </c>
      <c r="J38" s="31">
        <f t="shared" si="3"/>
        <v>1870.768416000001</v>
      </c>
      <c r="K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23"/>
      <c r="B39" s="25" t="s">
        <v>35</v>
      </c>
      <c r="C39" s="14">
        <f>C38/C$32</f>
        <v>0.08</v>
      </c>
      <c r="D39" s="56">
        <v>0.08</v>
      </c>
      <c r="E39" s="56">
        <v>0.08</v>
      </c>
      <c r="F39" s="56">
        <v>0.08</v>
      </c>
      <c r="G39" s="56">
        <v>0.08</v>
      </c>
      <c r="H39" s="56">
        <v>0.08</v>
      </c>
      <c r="I39" s="56">
        <v>0.08</v>
      </c>
      <c r="J39" s="56">
        <v>0.08</v>
      </c>
      <c r="K39" s="1"/>
      <c r="L39" s="1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23"/>
      <c r="B40" s="10"/>
      <c r="C40" s="14"/>
      <c r="D40" s="27"/>
      <c r="E40" s="27"/>
      <c r="F40" s="27"/>
      <c r="G40" s="27"/>
      <c r="H40" s="27"/>
      <c r="I40" s="27"/>
      <c r="J40" s="2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23"/>
      <c r="B41" s="10" t="s">
        <v>36</v>
      </c>
      <c r="C41" s="14">
        <f>C10</f>
        <v>200</v>
      </c>
      <c r="D41" s="29">
        <f>C41+(D38+D50)</f>
        <v>100</v>
      </c>
      <c r="E41" s="29">
        <f t="shared" ref="D41:J41" si="4">D41+(E38+E50)</f>
        <v>100</v>
      </c>
      <c r="F41" s="29">
        <f t="shared" si="4"/>
        <v>100</v>
      </c>
      <c r="G41" s="29">
        <f t="shared" si="4"/>
        <v>100</v>
      </c>
      <c r="H41" s="29">
        <f t="shared" si="4"/>
        <v>100</v>
      </c>
      <c r="I41" s="29">
        <f t="shared" si="4"/>
        <v>100</v>
      </c>
      <c r="J41" s="29">
        <f t="shared" si="4"/>
        <v>100</v>
      </c>
      <c r="K41" s="1"/>
      <c r="L41" s="1" t="s">
        <v>37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23"/>
      <c r="B42" s="32" t="s">
        <v>38</v>
      </c>
      <c r="C42" s="33">
        <f>C9</f>
        <v>1200</v>
      </c>
      <c r="D42" s="34">
        <f t="shared" ref="D42:J42" si="5">D51</f>
        <v>55444</v>
      </c>
      <c r="E42" s="34">
        <f t="shared" si="5"/>
        <v>53282.400000000001</v>
      </c>
      <c r="F42" s="34">
        <f t="shared" si="5"/>
        <v>51004.639999999999</v>
      </c>
      <c r="G42" s="34">
        <f t="shared" si="5"/>
        <v>48599.103999999999</v>
      </c>
      <c r="H42" s="34">
        <f t="shared" si="5"/>
        <v>46053.0144</v>
      </c>
      <c r="I42" s="34">
        <f t="shared" si="5"/>
        <v>43352.315839999996</v>
      </c>
      <c r="J42" s="34">
        <f t="shared" si="5"/>
        <v>40481.547423999997</v>
      </c>
      <c r="K42" s="1"/>
      <c r="L42" s="1" t="s">
        <v>39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23"/>
      <c r="B43" s="10" t="s">
        <v>40</v>
      </c>
      <c r="C43" s="14">
        <f t="shared" ref="C43:J43" si="6">C42-C41</f>
        <v>1000</v>
      </c>
      <c r="D43" s="35">
        <f t="shared" si="6"/>
        <v>55344</v>
      </c>
      <c r="E43" s="35">
        <f t="shared" si="6"/>
        <v>53182.400000000001</v>
      </c>
      <c r="F43" s="35">
        <f t="shared" si="6"/>
        <v>50904.639999999999</v>
      </c>
      <c r="G43" s="35">
        <f t="shared" si="6"/>
        <v>48499.103999999999</v>
      </c>
      <c r="H43" s="35">
        <f t="shared" si="6"/>
        <v>45953.0144</v>
      </c>
      <c r="I43" s="35">
        <f t="shared" si="6"/>
        <v>43252.315839999996</v>
      </c>
      <c r="J43" s="35">
        <f t="shared" si="6"/>
        <v>40381.547423999997</v>
      </c>
      <c r="K43" s="1"/>
      <c r="L43" s="10" t="s">
        <v>11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0"/>
      <c r="C44" s="1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7" t="s">
        <v>41</v>
      </c>
      <c r="C45" s="8"/>
      <c r="D45" s="7"/>
      <c r="E45" s="7"/>
      <c r="F45" s="7"/>
      <c r="G45" s="7"/>
      <c r="H45" s="7"/>
      <c r="I45" s="7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8"/>
      <c r="C46" s="19"/>
      <c r="D46" s="76" t="s">
        <v>28</v>
      </c>
      <c r="E46" s="71"/>
      <c r="F46" s="71"/>
      <c r="G46" s="71"/>
      <c r="H46" s="71"/>
      <c r="I46" s="71"/>
      <c r="J46" s="7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52"/>
      <c r="B47" s="20"/>
      <c r="C47" s="36"/>
      <c r="D47" s="53">
        <f t="shared" ref="D47:J47" si="7">D31</f>
        <v>2022</v>
      </c>
      <c r="E47" s="53">
        <f t="shared" si="7"/>
        <v>2023</v>
      </c>
      <c r="F47" s="53">
        <f t="shared" si="7"/>
        <v>2024</v>
      </c>
      <c r="G47" s="54">
        <f t="shared" si="7"/>
        <v>2025</v>
      </c>
      <c r="H47" s="54">
        <f t="shared" si="7"/>
        <v>2026</v>
      </c>
      <c r="I47" s="54">
        <f t="shared" si="7"/>
        <v>2027</v>
      </c>
      <c r="J47" s="54">
        <f t="shared" si="7"/>
        <v>2028</v>
      </c>
      <c r="K47" s="20"/>
      <c r="L47" s="55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1"/>
      <c r="B48" s="10" t="s">
        <v>42</v>
      </c>
      <c r="C48" s="12"/>
      <c r="D48" s="37">
        <f>C23*C15</f>
        <v>57600</v>
      </c>
      <c r="E48" s="38">
        <f t="shared" ref="E48:J48" si="8">D51</f>
        <v>55444</v>
      </c>
      <c r="F48" s="38">
        <f t="shared" si="8"/>
        <v>53282.400000000001</v>
      </c>
      <c r="G48" s="38">
        <f t="shared" si="8"/>
        <v>51004.639999999999</v>
      </c>
      <c r="H48" s="38">
        <f t="shared" si="8"/>
        <v>48599.103999999999</v>
      </c>
      <c r="I48" s="38">
        <f t="shared" si="8"/>
        <v>46053.0144</v>
      </c>
      <c r="J48" s="38">
        <f t="shared" si="8"/>
        <v>43352.315839999996</v>
      </c>
      <c r="K48" s="1"/>
      <c r="L48" s="1" t="s">
        <v>65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5" t="s">
        <v>44</v>
      </c>
      <c r="C49" s="12"/>
      <c r="D49" s="57">
        <v>-1000</v>
      </c>
      <c r="E49" s="57">
        <v>-1000</v>
      </c>
      <c r="F49" s="57">
        <v>-1000</v>
      </c>
      <c r="G49" s="57">
        <v>-1000</v>
      </c>
      <c r="H49" s="57">
        <v>-1000</v>
      </c>
      <c r="I49" s="57">
        <v>-1000</v>
      </c>
      <c r="J49" s="57">
        <v>-1000</v>
      </c>
      <c r="K49" s="1"/>
      <c r="L49" s="1" t="s">
        <v>45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40" t="s">
        <v>46</v>
      </c>
      <c r="C50" s="41"/>
      <c r="D50" s="42">
        <f t="shared" ref="D50:J50" si="9">(C41+D38-$C$24)*-1</f>
        <v>-1156.0000000000002</v>
      </c>
      <c r="E50" s="42">
        <f t="shared" si="9"/>
        <v>-1161.6000000000004</v>
      </c>
      <c r="F50" s="42">
        <f t="shared" si="9"/>
        <v>-1277.7600000000004</v>
      </c>
      <c r="G50" s="42">
        <f t="shared" si="9"/>
        <v>-1405.5360000000007</v>
      </c>
      <c r="H50" s="42">
        <f t="shared" si="9"/>
        <v>-1546.0896000000009</v>
      </c>
      <c r="I50" s="42">
        <f t="shared" si="9"/>
        <v>-1700.698560000001</v>
      </c>
      <c r="J50" s="42">
        <f t="shared" si="9"/>
        <v>-1870.768416000001</v>
      </c>
      <c r="K50" s="1"/>
      <c r="L50" s="1" t="s">
        <v>47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0" t="s">
        <v>48</v>
      </c>
      <c r="C51" s="12"/>
      <c r="D51" s="38">
        <f t="shared" ref="D51:J51" si="10">SUM(D48:D50)</f>
        <v>55444</v>
      </c>
      <c r="E51" s="38">
        <f t="shared" si="10"/>
        <v>53282.400000000001</v>
      </c>
      <c r="F51" s="38">
        <f t="shared" si="10"/>
        <v>51004.639999999999</v>
      </c>
      <c r="G51" s="38">
        <f t="shared" si="10"/>
        <v>48599.103999999999</v>
      </c>
      <c r="H51" s="38">
        <f t="shared" si="10"/>
        <v>46053.0144</v>
      </c>
      <c r="I51" s="38">
        <f t="shared" si="10"/>
        <v>43352.315839999996</v>
      </c>
      <c r="J51" s="38">
        <f t="shared" si="10"/>
        <v>40481.547423999997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0"/>
      <c r="C52" s="1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43" t="s">
        <v>49</v>
      </c>
      <c r="C53" s="12"/>
      <c r="D53" s="1"/>
      <c r="E53" s="1"/>
      <c r="F53" s="1"/>
      <c r="G53" s="1"/>
      <c r="H53" s="1"/>
      <c r="I53" s="1"/>
      <c r="J53" s="1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44" t="s">
        <v>57</v>
      </c>
      <c r="C54" s="12"/>
      <c r="D54" s="1"/>
      <c r="E54" s="1"/>
      <c r="F54" s="1"/>
      <c r="G54" s="1"/>
      <c r="H54" s="1"/>
      <c r="I54" s="10"/>
      <c r="J54" s="45">
        <f>HLOOKUP($C$21,$C$31:$J$43,5,FALSE)*C26</f>
        <v>89310.100000000049</v>
      </c>
      <c r="K54" s="1" t="s">
        <v>64</v>
      </c>
      <c r="L54" s="4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44" t="s">
        <v>58</v>
      </c>
      <c r="C55" s="12"/>
      <c r="D55" s="1"/>
      <c r="E55" s="1"/>
      <c r="F55" s="1"/>
      <c r="G55" s="1"/>
      <c r="H55" s="1"/>
      <c r="I55" s="10"/>
      <c r="J55" s="45">
        <f>J54-HLOOKUP($C$21,$C$31:$J$43,13,FALSE)</f>
        <v>40810.99600000005</v>
      </c>
      <c r="K55" s="1" t="s">
        <v>63</v>
      </c>
      <c r="L55" s="4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44" t="s">
        <v>59</v>
      </c>
      <c r="C56" s="12"/>
      <c r="D56" s="1"/>
      <c r="E56" s="1"/>
      <c r="F56" s="1"/>
      <c r="G56" s="1"/>
      <c r="H56" s="1"/>
      <c r="I56" s="10"/>
      <c r="J56" s="45">
        <f>J55/(1+C27)^(C21-C4)</f>
        <v>16716.183961600022</v>
      </c>
      <c r="K56" s="1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0"/>
      <c r="C57" s="12"/>
      <c r="D57" s="1"/>
      <c r="E57" s="1"/>
      <c r="F57" s="1"/>
      <c r="G57" s="1"/>
      <c r="H57" s="1"/>
      <c r="I57" s="1"/>
      <c r="J57" s="1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43" t="s">
        <v>49</v>
      </c>
      <c r="C58" s="1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44" t="s">
        <v>60</v>
      </c>
      <c r="C59" s="5"/>
      <c r="D59" s="1"/>
      <c r="E59" s="1"/>
      <c r="F59" s="1"/>
      <c r="G59" s="1"/>
      <c r="H59" s="1"/>
      <c r="I59" s="1"/>
      <c r="J59" s="45">
        <f>J56+D48</f>
        <v>74316.183961600022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44" t="s">
        <v>61</v>
      </c>
      <c r="C60" s="5"/>
      <c r="D60" s="1"/>
      <c r="E60" s="1"/>
      <c r="F60" s="1"/>
      <c r="G60" s="1"/>
      <c r="H60" s="1"/>
      <c r="I60" s="1"/>
      <c r="J60" s="58">
        <f>(J59-C43)/C7</f>
        <v>73.316183961600018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44" t="s">
        <v>62</v>
      </c>
      <c r="C61" s="5"/>
      <c r="D61" s="1"/>
      <c r="E61" s="1"/>
      <c r="F61" s="1"/>
      <c r="G61" s="1"/>
      <c r="H61" s="1"/>
      <c r="I61" s="1"/>
      <c r="J61" s="78" t="str">
        <f>+IF((J60-C6)/C6&gt;0,"Yes","No")</f>
        <v>Yes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30:J30"/>
    <mergeCell ref="D46:J4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LBO</vt:lpstr>
      <vt:lpstr>LBO 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 JAIN</cp:lastModifiedBy>
  <dcterms:modified xsi:type="dcterms:W3CDTF">2022-06-14T06:36:17Z</dcterms:modified>
</cp:coreProperties>
</file>