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queryTables/queryTable1.xml" ContentType="application/vnd.openxmlformats-officedocument.spreadsheetml.queryTable+xml"/>
  <Override PartName="/xl/tables/table14.xml" ContentType="application/vnd.openxmlformats-officedocument.spreadsheetml.table+xml"/>
  <Override PartName="/xl/queryTables/queryTable2.xml" ContentType="application/vnd.openxmlformats-officedocument.spreadsheetml.queryTable+xml"/>
  <Override PartName="/xl/tables/table15.xml" ContentType="application/vnd.openxmlformats-officedocument.spreadsheetml.table+xml"/>
  <Override PartName="/xl/queryTables/queryTable3.xml" ContentType="application/vnd.openxmlformats-officedocument.spreadsheetml.queryTable+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drawings/drawing6.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E:\reliance complete valuation model\"/>
    </mc:Choice>
  </mc:AlternateContent>
  <xr:revisionPtr revIDLastSave="0" documentId="13_ncr:1_{6C2F1FD8-7BED-4B0D-99F0-3448BE00E46C}" xr6:coauthVersionLast="47" xr6:coauthVersionMax="47" xr10:uidLastSave="{00000000-0000-0000-0000-000000000000}"/>
  <bookViews>
    <workbookView xWindow="732" yWindow="732" windowWidth="17280" windowHeight="8880" activeTab="4" xr2:uid="{8BF8401B-0410-497E-9B87-DC31D4014997}"/>
  </bookViews>
  <sheets>
    <sheet name="ToC" sheetId="17" r:id="rId1"/>
    <sheet name="residual income approch" sheetId="15" r:id="rId2"/>
    <sheet name="Sheet1" sheetId="19" r:id="rId3"/>
    <sheet name="valuation freecash flow" sheetId="14" r:id="rId4"/>
    <sheet name="marketbased valuations" sheetId="16" r:id="rId5"/>
    <sheet name="balancesheet" sheetId="5" r:id="rId6"/>
    <sheet name="profitloss" sheetId="3" r:id="rId7"/>
    <sheet name="cashflow" sheetId="6" r:id="rId8"/>
    <sheet name="charts" sheetId="18" r:id="rId9"/>
    <sheet name="other equity" sheetId="8" r:id="rId10"/>
    <sheet name="debt" sheetId="12" r:id="rId11"/>
    <sheet name="WORKING CAPITAL" sheetId="13" r:id="rId12"/>
    <sheet name="PPE" sheetId="4" r:id="rId13"/>
    <sheet name="revenue" sheetId="9" r:id="rId14"/>
    <sheet name="expenses" sheetId="11" r:id="rId15"/>
    <sheet name="segmentrevenue" sheetId="10" r:id="rId16"/>
  </sheets>
  <definedNames>
    <definedName name="ExternalData_1" localSheetId="7" hidden="1">cashflow!$A$4:$D$53</definedName>
    <definedName name="ExternalData_1" localSheetId="6" hidden="1">profitloss!$A$1:$C$51</definedName>
    <definedName name="ExternalData_2" localSheetId="5" hidden="1">balancesheet!$A$3:$C$59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9" l="1" a="1"/>
  <c r="C12" i="19" s="1"/>
  <c r="C11" i="19" a="1"/>
  <c r="C11" i="19" s="1"/>
  <c r="C10" i="19" a="1"/>
  <c r="C10" i="19" s="1"/>
  <c r="C9" i="19" a="1"/>
  <c r="C9" i="19" s="1"/>
  <c r="C8" i="19" a="1"/>
  <c r="C8" i="19" s="1"/>
  <c r="C7" i="19" a="1"/>
  <c r="C7" i="19" s="1"/>
  <c r="C6" i="19" a="1"/>
  <c r="C6" i="19" s="1"/>
  <c r="C5" i="19" a="1"/>
  <c r="C5" i="19" s="1"/>
  <c r="C4" i="19" a="1"/>
  <c r="C4" i="19" s="1"/>
  <c r="H93" i="16" l="1"/>
  <c r="I93" i="16"/>
  <c r="J93" i="16"/>
  <c r="K93" i="16"/>
  <c r="G93" i="16"/>
  <c r="H94" i="16"/>
  <c r="I94" i="16"/>
  <c r="J94" i="16"/>
  <c r="K94" i="16"/>
  <c r="G94" i="16"/>
  <c r="H95" i="16"/>
  <c r="I95" i="16"/>
  <c r="J95" i="16"/>
  <c r="K95" i="16"/>
  <c r="G95" i="16"/>
  <c r="G7" i="15"/>
  <c r="E7" i="15"/>
  <c r="I66" i="16" l="1"/>
  <c r="J66" i="16"/>
  <c r="K66" i="16"/>
  <c r="L66" i="16"/>
  <c r="H66" i="16"/>
  <c r="E83" i="16"/>
  <c r="E84" i="16" s="1"/>
  <c r="E85" i="16" s="1"/>
  <c r="F83" i="16"/>
  <c r="F84" i="16" s="1"/>
  <c r="G83" i="16"/>
  <c r="G84" i="16" s="1"/>
  <c r="G85" i="16" s="1"/>
  <c r="D83" i="16"/>
  <c r="D84" i="16" s="1"/>
  <c r="D85" i="16" s="1"/>
  <c r="F82" i="16"/>
  <c r="D68" i="16"/>
  <c r="E68" i="16"/>
  <c r="F68" i="16"/>
  <c r="D67" i="16"/>
  <c r="E67" i="16"/>
  <c r="F67" i="16"/>
  <c r="D62" i="16"/>
  <c r="E62" i="16"/>
  <c r="F62" i="16"/>
  <c r="D61" i="16"/>
  <c r="E61" i="16"/>
  <c r="F61" i="16"/>
  <c r="D60" i="16"/>
  <c r="E60" i="16"/>
  <c r="F60" i="16"/>
  <c r="C29" i="16"/>
  <c r="C28" i="16"/>
  <c r="A69" i="16"/>
  <c r="A73" i="16" s="1"/>
  <c r="H68" i="16"/>
  <c r="I68" i="16"/>
  <c r="J68" i="16"/>
  <c r="K68" i="16"/>
  <c r="L68" i="16"/>
  <c r="G68" i="16"/>
  <c r="I67" i="16"/>
  <c r="I74" i="16" s="1"/>
  <c r="J67" i="16"/>
  <c r="K67" i="16"/>
  <c r="L67" i="16"/>
  <c r="H67" i="16"/>
  <c r="H74" i="16" s="1"/>
  <c r="G67" i="16"/>
  <c r="G74" i="16" s="1"/>
  <c r="H62" i="16"/>
  <c r="I62" i="16"/>
  <c r="J62" i="16"/>
  <c r="K62" i="16"/>
  <c r="L62" i="16"/>
  <c r="G62" i="16"/>
  <c r="H61" i="16"/>
  <c r="I61" i="16"/>
  <c r="J61" i="16"/>
  <c r="K61" i="16"/>
  <c r="L61" i="16"/>
  <c r="G61" i="16"/>
  <c r="H60" i="16"/>
  <c r="I60" i="16"/>
  <c r="J60" i="16"/>
  <c r="K60" i="16"/>
  <c r="L60" i="16"/>
  <c r="G60" i="16"/>
  <c r="H55" i="16"/>
  <c r="I55" i="16"/>
  <c r="J55" i="16"/>
  <c r="K55" i="16"/>
  <c r="L55" i="16"/>
  <c r="G55" i="16"/>
  <c r="H50" i="16"/>
  <c r="I50" i="16"/>
  <c r="J50" i="16"/>
  <c r="K50" i="16"/>
  <c r="L50" i="16"/>
  <c r="G50" i="16"/>
  <c r="H48" i="16"/>
  <c r="I48" i="16"/>
  <c r="J48" i="16"/>
  <c r="K48" i="16"/>
  <c r="L48" i="16"/>
  <c r="H47" i="16"/>
  <c r="I47" i="16"/>
  <c r="J47" i="16"/>
  <c r="K47" i="16"/>
  <c r="L47" i="16"/>
  <c r="H46" i="16"/>
  <c r="I46" i="16"/>
  <c r="J46" i="16"/>
  <c r="K46" i="16"/>
  <c r="L46" i="16"/>
  <c r="G47" i="16"/>
  <c r="G48" i="16"/>
  <c r="G46" i="16"/>
  <c r="A47" i="16"/>
  <c r="A48" i="16"/>
  <c r="A46" i="16"/>
  <c r="H46" i="3"/>
  <c r="I46" i="3"/>
  <c r="J46" i="3"/>
  <c r="K40" i="16" s="1"/>
  <c r="K46" i="3"/>
  <c r="L40" i="16" s="1"/>
  <c r="G46" i="3"/>
  <c r="H40" i="16" s="1"/>
  <c r="E53" i="3"/>
  <c r="E52" i="3"/>
  <c r="F52" i="3"/>
  <c r="F51" i="3"/>
  <c r="F57" i="3"/>
  <c r="F54" i="3"/>
  <c r="A42" i="16"/>
  <c r="L41" i="16"/>
  <c r="K41" i="16"/>
  <c r="J41" i="16"/>
  <c r="I41" i="16"/>
  <c r="H41" i="16"/>
  <c r="I40" i="16"/>
  <c r="F31" i="16" s="1"/>
  <c r="J40" i="16"/>
  <c r="B24" i="16"/>
  <c r="C33" i="15"/>
  <c r="D28" i="15"/>
  <c r="D22" i="15" s="1"/>
  <c r="C13" i="15"/>
  <c r="C14" i="15"/>
  <c r="C16" i="15" s="1"/>
  <c r="C15" i="15"/>
  <c r="C28" i="15"/>
  <c r="C22" i="15" s="1"/>
  <c r="H31" i="15"/>
  <c r="E28" i="15"/>
  <c r="E22" i="15" s="1"/>
  <c r="F28" i="15"/>
  <c r="F22" i="15" s="1"/>
  <c r="G28" i="15"/>
  <c r="G22" i="15" s="1"/>
  <c r="B28" i="15"/>
  <c r="A28" i="15"/>
  <c r="B14" i="15"/>
  <c r="B15" i="15"/>
  <c r="B13" i="15"/>
  <c r="A14" i="15"/>
  <c r="A15" i="15"/>
  <c r="D15" i="15"/>
  <c r="E15" i="15"/>
  <c r="F15" i="15"/>
  <c r="G15" i="15"/>
  <c r="D14" i="15"/>
  <c r="E14" i="15"/>
  <c r="F14" i="15"/>
  <c r="G14" i="15"/>
  <c r="D13" i="15"/>
  <c r="E13" i="15"/>
  <c r="F13" i="15"/>
  <c r="G13" i="15"/>
  <c r="A13" i="15"/>
  <c r="B46" i="14"/>
  <c r="C42" i="14"/>
  <c r="D42" i="14"/>
  <c r="E42" i="14"/>
  <c r="F42" i="14"/>
  <c r="B42" i="14"/>
  <c r="C41" i="14"/>
  <c r="A41" i="14"/>
  <c r="A40" i="14"/>
  <c r="C37" i="14"/>
  <c r="D37" i="14"/>
  <c r="E37" i="14"/>
  <c r="F37" i="14"/>
  <c r="B37" i="14"/>
  <c r="C36" i="14"/>
  <c r="D36" i="14"/>
  <c r="E36" i="14"/>
  <c r="F36" i="14"/>
  <c r="B36" i="14"/>
  <c r="C34" i="14"/>
  <c r="D34" i="14"/>
  <c r="D41" i="14" s="1"/>
  <c r="E34" i="14"/>
  <c r="E41" i="14" s="1"/>
  <c r="F34" i="14"/>
  <c r="F41" i="14" s="1"/>
  <c r="B34" i="14"/>
  <c r="B41" i="14" s="1"/>
  <c r="C33" i="14"/>
  <c r="D33" i="14"/>
  <c r="E33" i="14"/>
  <c r="F33" i="14"/>
  <c r="B33" i="14"/>
  <c r="C32" i="14"/>
  <c r="D32" i="14"/>
  <c r="E32" i="14"/>
  <c r="F32" i="14"/>
  <c r="B32" i="14"/>
  <c r="C27" i="14"/>
  <c r="B7" i="12"/>
  <c r="C26" i="14"/>
  <c r="B47" i="14" s="1"/>
  <c r="B23" i="14"/>
  <c r="E27" i="14" s="1"/>
  <c r="B20" i="14"/>
  <c r="E26" i="14" s="1"/>
  <c r="B16" i="14"/>
  <c r="K2" i="6"/>
  <c r="L2" i="6"/>
  <c r="M2" i="6"/>
  <c r="N2" i="6"/>
  <c r="J2" i="6"/>
  <c r="H34" i="5"/>
  <c r="I34" i="5"/>
  <c r="J34" i="5"/>
  <c r="K34" i="5"/>
  <c r="G34" i="5"/>
  <c r="G35" i="8"/>
  <c r="H35" i="8"/>
  <c r="I35" i="8"/>
  <c r="J35" i="8"/>
  <c r="F35" i="8"/>
  <c r="G36" i="8"/>
  <c r="H36" i="8"/>
  <c r="I36" i="8"/>
  <c r="J36" i="8"/>
  <c r="F36" i="8"/>
  <c r="G48" i="8"/>
  <c r="H48" i="8"/>
  <c r="I48" i="8"/>
  <c r="J48" i="8"/>
  <c r="H46" i="8"/>
  <c r="H52" i="8" s="1"/>
  <c r="I46" i="8" s="1"/>
  <c r="I52" i="8" s="1"/>
  <c r="J46" i="8" s="1"/>
  <c r="J52" i="8" s="1"/>
  <c r="G52" i="8"/>
  <c r="G47" i="8"/>
  <c r="H47" i="8"/>
  <c r="I47" i="8"/>
  <c r="J47" i="8"/>
  <c r="G46" i="8"/>
  <c r="F52" i="8"/>
  <c r="F48" i="8"/>
  <c r="F47" i="8"/>
  <c r="F46" i="8"/>
  <c r="G9" i="5"/>
  <c r="I9" i="5"/>
  <c r="H6" i="5"/>
  <c r="I12" i="5"/>
  <c r="J12" i="5"/>
  <c r="K12" i="5"/>
  <c r="H12" i="5"/>
  <c r="G12" i="5"/>
  <c r="F34" i="8"/>
  <c r="K29" i="12"/>
  <c r="L29" i="12"/>
  <c r="M29" i="12"/>
  <c r="N29" i="12"/>
  <c r="J29" i="12"/>
  <c r="K28" i="12"/>
  <c r="L28" i="12"/>
  <c r="M28" i="12"/>
  <c r="N28" i="12"/>
  <c r="J28" i="12"/>
  <c r="K42" i="6"/>
  <c r="L42" i="6"/>
  <c r="M42" i="6"/>
  <c r="N42" i="6"/>
  <c r="K35" i="6"/>
  <c r="L35" i="6"/>
  <c r="M35" i="6"/>
  <c r="N35" i="6"/>
  <c r="K31" i="6"/>
  <c r="L31" i="6"/>
  <c r="M31" i="6"/>
  <c r="N31" i="6"/>
  <c r="K28" i="6"/>
  <c r="L28" i="6"/>
  <c r="M28" i="6"/>
  <c r="N28" i="6"/>
  <c r="K26" i="6"/>
  <c r="L26" i="6"/>
  <c r="M26" i="6"/>
  <c r="N26" i="6"/>
  <c r="K23" i="6"/>
  <c r="L23" i="6"/>
  <c r="M23" i="6"/>
  <c r="N23" i="6" s="1"/>
  <c r="K19" i="6"/>
  <c r="L19" i="6"/>
  <c r="M19" i="6"/>
  <c r="N19" i="6"/>
  <c r="K14" i="6"/>
  <c r="L14" i="6"/>
  <c r="M14" i="6"/>
  <c r="N14" i="6"/>
  <c r="K6" i="6"/>
  <c r="L6" i="6"/>
  <c r="M6" i="6"/>
  <c r="N6" i="6"/>
  <c r="F39" i="8"/>
  <c r="J51" i="6"/>
  <c r="J42" i="6"/>
  <c r="J31" i="6"/>
  <c r="J28" i="6"/>
  <c r="J26" i="6"/>
  <c r="J35" i="6" s="1"/>
  <c r="J23" i="6"/>
  <c r="J19" i="6"/>
  <c r="J14" i="6"/>
  <c r="J6" i="6"/>
  <c r="H53" i="5"/>
  <c r="I53" i="5" s="1"/>
  <c r="G53" i="5"/>
  <c r="H22" i="5"/>
  <c r="I22" i="5"/>
  <c r="J22" i="5"/>
  <c r="K22" i="5"/>
  <c r="G22" i="5"/>
  <c r="K20" i="13"/>
  <c r="J20" i="13"/>
  <c r="I20" i="13"/>
  <c r="H20" i="13"/>
  <c r="G20" i="13"/>
  <c r="D20" i="13"/>
  <c r="D21" i="13" s="1"/>
  <c r="E20" i="13"/>
  <c r="E21" i="13" s="1"/>
  <c r="F20" i="13"/>
  <c r="F21" i="13" s="1"/>
  <c r="C20" i="13"/>
  <c r="C21" i="13" s="1"/>
  <c r="C18" i="13"/>
  <c r="D18" i="13"/>
  <c r="E18" i="13"/>
  <c r="F18" i="13"/>
  <c r="G18" i="13"/>
  <c r="H18" i="13"/>
  <c r="I18" i="13"/>
  <c r="J18" i="13"/>
  <c r="K18" i="13"/>
  <c r="A18" i="13"/>
  <c r="D13" i="13"/>
  <c r="D15" i="13" s="1"/>
  <c r="E13" i="13"/>
  <c r="E15" i="13" s="1"/>
  <c r="F13" i="13"/>
  <c r="F15" i="13" s="1"/>
  <c r="C13" i="13"/>
  <c r="C15" i="13" s="1"/>
  <c r="G30" i="3"/>
  <c r="H34" i="3"/>
  <c r="F4" i="13"/>
  <c r="F6" i="13" s="1"/>
  <c r="D8" i="13"/>
  <c r="D10" i="13" s="1"/>
  <c r="E8" i="13"/>
  <c r="E10" i="13" s="1"/>
  <c r="F8" i="13"/>
  <c r="C8" i="13"/>
  <c r="C10" i="13" s="1"/>
  <c r="D6" i="13"/>
  <c r="E6" i="13"/>
  <c r="C6" i="13"/>
  <c r="B3" i="13"/>
  <c r="C3" i="13"/>
  <c r="D3" i="13"/>
  <c r="E3" i="13"/>
  <c r="F3" i="13"/>
  <c r="B4" i="13"/>
  <c r="C4" i="13"/>
  <c r="D4" i="13"/>
  <c r="E4" i="13"/>
  <c r="B5" i="13"/>
  <c r="C5" i="13"/>
  <c r="D5" i="13"/>
  <c r="E5" i="13"/>
  <c r="F5" i="13"/>
  <c r="A5" i="13"/>
  <c r="A4" i="13"/>
  <c r="A3" i="13"/>
  <c r="F85" i="16" l="1"/>
  <c r="F86" i="16" s="1"/>
  <c r="G16" i="15"/>
  <c r="B16" i="15"/>
  <c r="F16" i="15"/>
  <c r="E16" i="15"/>
  <c r="D16" i="15"/>
  <c r="E69" i="16"/>
  <c r="D69" i="16"/>
  <c r="F69" i="16"/>
  <c r="D63" i="16"/>
  <c r="E63" i="16"/>
  <c r="E86" i="16"/>
  <c r="F63" i="16"/>
  <c r="I43" i="16"/>
  <c r="I44" i="16" s="1"/>
  <c r="H43" i="16"/>
  <c r="H44" i="16" s="1"/>
  <c r="L43" i="16"/>
  <c r="L44" i="16" s="1"/>
  <c r="K43" i="16"/>
  <c r="K44" i="16" s="1"/>
  <c r="J43" i="16"/>
  <c r="J44" i="16" s="1"/>
  <c r="D29" i="16"/>
  <c r="C27" i="16"/>
  <c r="H63" i="16"/>
  <c r="L69" i="16"/>
  <c r="J56" i="16"/>
  <c r="G49" i="16"/>
  <c r="G51" i="16" s="1"/>
  <c r="K34" i="16"/>
  <c r="I63" i="16"/>
  <c r="I56" i="16"/>
  <c r="I57" i="16" s="1"/>
  <c r="I58" i="16" s="1"/>
  <c r="L49" i="16"/>
  <c r="L51" i="16" s="1"/>
  <c r="L52" i="16" s="1"/>
  <c r="G63" i="16"/>
  <c r="H34" i="16"/>
  <c r="J34" i="16"/>
  <c r="L56" i="16"/>
  <c r="H42" i="16"/>
  <c r="H69" i="16"/>
  <c r="H73" i="16" s="1"/>
  <c r="H75" i="16" s="1"/>
  <c r="H77" i="16" s="1"/>
  <c r="L63" i="16"/>
  <c r="J69" i="16"/>
  <c r="J49" i="16"/>
  <c r="J51" i="16" s="1"/>
  <c r="J52" i="16" s="1"/>
  <c r="K56" i="16"/>
  <c r="I49" i="16"/>
  <c r="I51" i="16" s="1"/>
  <c r="I52" i="16" s="1"/>
  <c r="K49" i="16"/>
  <c r="K51" i="16" s="1"/>
  <c r="K52" i="16" s="1"/>
  <c r="K63" i="16"/>
  <c r="H49" i="16"/>
  <c r="H51" i="16" s="1"/>
  <c r="H52" i="16" s="1"/>
  <c r="H56" i="16"/>
  <c r="J63" i="16"/>
  <c r="G69" i="16"/>
  <c r="G73" i="16" s="1"/>
  <c r="G75" i="16" s="1"/>
  <c r="G77" i="16" s="1"/>
  <c r="K69" i="16"/>
  <c r="I69" i="16"/>
  <c r="I73" i="16" s="1"/>
  <c r="I75" i="16" s="1"/>
  <c r="I77" i="16" s="1"/>
  <c r="J42" i="16"/>
  <c r="I42" i="16"/>
  <c r="G34" i="16"/>
  <c r="I34" i="16"/>
  <c r="L42" i="16"/>
  <c r="K42" i="16"/>
  <c r="E31" i="16"/>
  <c r="I31" i="16"/>
  <c r="H31" i="16"/>
  <c r="G31" i="16"/>
  <c r="G18" i="15"/>
  <c r="B18" i="15"/>
  <c r="B45" i="14"/>
  <c r="B49" i="14"/>
  <c r="D35" i="14"/>
  <c r="D38" i="14" s="1"/>
  <c r="D40" i="14" s="1"/>
  <c r="D43" i="14" s="1"/>
  <c r="D53" i="14" s="1"/>
  <c r="D54" i="14" s="1"/>
  <c r="F35" i="14"/>
  <c r="F38" i="14" s="1"/>
  <c r="F40" i="14" s="1"/>
  <c r="F43" i="14" s="1"/>
  <c r="F51" i="14" s="1"/>
  <c r="F53" i="14" s="1"/>
  <c r="F54" i="14" s="1"/>
  <c r="B35" i="14"/>
  <c r="B38" i="14" s="1"/>
  <c r="B40" i="14" s="1"/>
  <c r="B43" i="14" s="1"/>
  <c r="B53" i="14" s="1"/>
  <c r="B54" i="14" s="1"/>
  <c r="C35" i="14"/>
  <c r="C38" i="14" s="1"/>
  <c r="C40" i="14" s="1"/>
  <c r="C43" i="14" s="1"/>
  <c r="C53" i="14" s="1"/>
  <c r="E35" i="14"/>
  <c r="E38" i="14" s="1"/>
  <c r="E40" i="14" s="1"/>
  <c r="E43" i="14" s="1"/>
  <c r="E53" i="14" s="1"/>
  <c r="C28" i="14"/>
  <c r="D27" i="14" s="1"/>
  <c r="F27" i="14" s="1"/>
  <c r="C16" i="13"/>
  <c r="F10" i="13"/>
  <c r="C11" i="13" s="1"/>
  <c r="J53" i="5"/>
  <c r="K53" i="5" s="1"/>
  <c r="G86" i="16" l="1"/>
  <c r="E54" i="14"/>
  <c r="C54" i="14"/>
  <c r="H78" i="16"/>
  <c r="H10" i="16" s="1"/>
  <c r="H11" i="16"/>
  <c r="I78" i="16"/>
  <c r="I10" i="16" s="1"/>
  <c r="I11" i="16"/>
  <c r="K37" i="16"/>
  <c r="L57" i="16"/>
  <c r="L58" i="16" s="1"/>
  <c r="I37" i="16"/>
  <c r="J57" i="16"/>
  <c r="J58" i="16" s="1"/>
  <c r="G37" i="16"/>
  <c r="H57" i="16"/>
  <c r="H58" i="16" s="1"/>
  <c r="J37" i="16"/>
  <c r="K57" i="16"/>
  <c r="K58" i="16" s="1"/>
  <c r="M44" i="16"/>
  <c r="G36" i="16"/>
  <c r="H36" i="16"/>
  <c r="K36" i="16"/>
  <c r="H37" i="16"/>
  <c r="G35" i="16"/>
  <c r="H53" i="16"/>
  <c r="K35" i="16"/>
  <c r="L53" i="16"/>
  <c r="J35" i="16"/>
  <c r="K53" i="16"/>
  <c r="I35" i="16"/>
  <c r="J53" i="16"/>
  <c r="H35" i="16"/>
  <c r="I53" i="16"/>
  <c r="I36" i="16"/>
  <c r="J36" i="16"/>
  <c r="E18" i="15"/>
  <c r="F21" i="15" s="1"/>
  <c r="F23" i="15" s="1"/>
  <c r="F25" i="15" s="1"/>
  <c r="C21" i="15"/>
  <c r="C23" i="15" s="1"/>
  <c r="C25" i="15" s="1"/>
  <c r="F18" i="15"/>
  <c r="C18" i="15"/>
  <c r="D18" i="15"/>
  <c r="D26" i="14"/>
  <c r="F26" i="14" s="1"/>
  <c r="F28" i="14" s="1"/>
  <c r="G34" i="3"/>
  <c r="G40" i="3" s="1"/>
  <c r="I30" i="3"/>
  <c r="H31" i="3"/>
  <c r="I31" i="3"/>
  <c r="J31" i="3"/>
  <c r="K31" i="3"/>
  <c r="H32" i="3"/>
  <c r="I32" i="3"/>
  <c r="J32" i="3"/>
  <c r="K32" i="3" s="1"/>
  <c r="H33" i="3"/>
  <c r="I33" i="3"/>
  <c r="J33" i="3"/>
  <c r="K33" i="3"/>
  <c r="G31" i="3"/>
  <c r="G32" i="3"/>
  <c r="G33" i="3"/>
  <c r="D28" i="11"/>
  <c r="E28" i="11"/>
  <c r="F28" i="11"/>
  <c r="D26" i="11"/>
  <c r="E26" i="11"/>
  <c r="F26" i="11"/>
  <c r="C26" i="11"/>
  <c r="E25" i="11"/>
  <c r="F25" i="11"/>
  <c r="D25" i="11"/>
  <c r="B25" i="11"/>
  <c r="C25" i="11"/>
  <c r="C28" i="11" s="1"/>
  <c r="A25" i="11"/>
  <c r="G42" i="5"/>
  <c r="H42" i="5" s="1"/>
  <c r="H43" i="5"/>
  <c r="I43" i="5" s="1"/>
  <c r="G43" i="5"/>
  <c r="A41" i="12"/>
  <c r="H41" i="5"/>
  <c r="I41" i="5"/>
  <c r="J41" i="5"/>
  <c r="K41" i="5"/>
  <c r="G41" i="5"/>
  <c r="H39" i="5"/>
  <c r="I39" i="5"/>
  <c r="J39" i="5"/>
  <c r="K39" i="5"/>
  <c r="G39" i="5"/>
  <c r="A45" i="12"/>
  <c r="C44" i="12"/>
  <c r="H40" i="5" s="1"/>
  <c r="D44" i="12"/>
  <c r="I40" i="5" s="1"/>
  <c r="E44" i="12"/>
  <c r="J40" i="5" s="1"/>
  <c r="F44" i="12"/>
  <c r="K40" i="5" s="1"/>
  <c r="B44" i="12"/>
  <c r="G40" i="5" s="1"/>
  <c r="A44" i="12"/>
  <c r="A43" i="12"/>
  <c r="A42" i="12"/>
  <c r="H32" i="5"/>
  <c r="I32" i="5" s="1"/>
  <c r="J32" i="5" s="1"/>
  <c r="K32" i="5" s="1"/>
  <c r="G32" i="5"/>
  <c r="I10" i="5"/>
  <c r="H8" i="5"/>
  <c r="H10" i="5" s="1"/>
  <c r="I8" i="5"/>
  <c r="J8" i="5"/>
  <c r="K8" i="5"/>
  <c r="G8" i="5"/>
  <c r="G10" i="5" s="1"/>
  <c r="H5" i="5"/>
  <c r="I5" i="5"/>
  <c r="J5" i="5"/>
  <c r="J10" i="5" s="1"/>
  <c r="K5" i="5"/>
  <c r="K10" i="5" s="1"/>
  <c r="G5" i="5"/>
  <c r="G14" i="5"/>
  <c r="H14" i="5" s="1"/>
  <c r="I14" i="5" s="1"/>
  <c r="J14" i="5" s="1"/>
  <c r="K14" i="5" s="1"/>
  <c r="G13" i="5"/>
  <c r="H13" i="5" s="1"/>
  <c r="I13" i="5" s="1"/>
  <c r="J13" i="5" s="1"/>
  <c r="K13" i="5" s="1"/>
  <c r="I25" i="12"/>
  <c r="J25" i="12" s="1"/>
  <c r="B27" i="12" s="1"/>
  <c r="B29" i="12" s="1"/>
  <c r="F26" i="12"/>
  <c r="C26" i="12"/>
  <c r="D26" i="12"/>
  <c r="E26" i="12"/>
  <c r="B26" i="12"/>
  <c r="C16" i="12"/>
  <c r="D16" i="12"/>
  <c r="E16" i="12"/>
  <c r="B16" i="12"/>
  <c r="B9" i="12"/>
  <c r="C9" i="12"/>
  <c r="D9" i="12"/>
  <c r="E9" i="12"/>
  <c r="A9" i="12"/>
  <c r="B6" i="12"/>
  <c r="C6" i="12"/>
  <c r="D6" i="12"/>
  <c r="E6" i="12"/>
  <c r="A6" i="12"/>
  <c r="B5" i="12"/>
  <c r="C5" i="12"/>
  <c r="D5" i="12"/>
  <c r="E5" i="12"/>
  <c r="A5" i="12"/>
  <c r="H18" i="3"/>
  <c r="I18" i="3"/>
  <c r="J18" i="3"/>
  <c r="K18" i="3"/>
  <c r="G18" i="3"/>
  <c r="H17" i="3"/>
  <c r="K9" i="6" s="1"/>
  <c r="I17" i="3"/>
  <c r="L9" i="6" s="1"/>
  <c r="J17" i="3"/>
  <c r="M9" i="6" s="1"/>
  <c r="K17" i="3"/>
  <c r="N9" i="6" s="1"/>
  <c r="G17" i="3"/>
  <c r="J9" i="6" s="1"/>
  <c r="H15" i="3"/>
  <c r="I15" i="3"/>
  <c r="J15" i="3"/>
  <c r="K15" i="3"/>
  <c r="G15" i="3"/>
  <c r="H14" i="3"/>
  <c r="I14" i="3"/>
  <c r="J14" i="3"/>
  <c r="K14" i="3"/>
  <c r="G14" i="3"/>
  <c r="H12" i="3"/>
  <c r="H4" i="13" s="1"/>
  <c r="I12" i="3"/>
  <c r="I4" i="13" s="1"/>
  <c r="J12" i="3"/>
  <c r="J4" i="13" s="1"/>
  <c r="K12" i="3"/>
  <c r="K4" i="13" s="1"/>
  <c r="G12" i="3"/>
  <c r="G4" i="13" s="1"/>
  <c r="H11" i="3"/>
  <c r="H3" i="13" s="1"/>
  <c r="H6" i="13" s="1"/>
  <c r="I11" i="3"/>
  <c r="I3" i="13" s="1"/>
  <c r="I6" i="13" s="1"/>
  <c r="J11" i="3"/>
  <c r="J3" i="13" s="1"/>
  <c r="K11" i="3"/>
  <c r="K3" i="13" s="1"/>
  <c r="G11" i="3"/>
  <c r="G3" i="13" s="1"/>
  <c r="H9" i="3"/>
  <c r="I9" i="3"/>
  <c r="J9" i="3"/>
  <c r="K9" i="3"/>
  <c r="G9" i="3"/>
  <c r="H8" i="3"/>
  <c r="I8" i="3"/>
  <c r="J8" i="3"/>
  <c r="K8" i="3"/>
  <c r="G8" i="3"/>
  <c r="I7" i="3"/>
  <c r="J7" i="3"/>
  <c r="K7" i="3"/>
  <c r="H7" i="3"/>
  <c r="H1" i="3"/>
  <c r="I1" i="3"/>
  <c r="J1" i="3"/>
  <c r="K1" i="3"/>
  <c r="G1" i="3"/>
  <c r="G7" i="3"/>
  <c r="F17" i="11"/>
  <c r="H17" i="11"/>
  <c r="I17" i="11"/>
  <c r="I21" i="11" s="1"/>
  <c r="I16" i="11" s="1"/>
  <c r="J17" i="11"/>
  <c r="J21" i="11" s="1"/>
  <c r="J16" i="11" s="1"/>
  <c r="K17" i="11"/>
  <c r="K21" i="11" s="1"/>
  <c r="K16" i="11" s="1"/>
  <c r="L17" i="11"/>
  <c r="L21" i="11" s="1"/>
  <c r="L16" i="11" s="1"/>
  <c r="I20" i="11"/>
  <c r="J20" i="11"/>
  <c r="K20" i="11"/>
  <c r="L20" i="11"/>
  <c r="H16" i="11"/>
  <c r="H21" i="11"/>
  <c r="H20" i="11"/>
  <c r="F18" i="11"/>
  <c r="I18" i="11"/>
  <c r="J18" i="11"/>
  <c r="K18" i="11"/>
  <c r="L18" i="11"/>
  <c r="H18" i="11"/>
  <c r="I15" i="11"/>
  <c r="J15" i="11"/>
  <c r="K15" i="11"/>
  <c r="L15" i="11"/>
  <c r="H15" i="11"/>
  <c r="L84" i="4"/>
  <c r="L86" i="4" s="1"/>
  <c r="K84" i="4"/>
  <c r="K86" i="4" s="1"/>
  <c r="J84" i="4"/>
  <c r="J86" i="4" s="1"/>
  <c r="I84" i="4"/>
  <c r="I86" i="4" s="1"/>
  <c r="I85" i="4"/>
  <c r="J85" i="4"/>
  <c r="K85" i="4"/>
  <c r="L85" i="4"/>
  <c r="I87" i="4"/>
  <c r="J87" i="4"/>
  <c r="K87" i="4"/>
  <c r="L87" i="4"/>
  <c r="H86" i="4"/>
  <c r="H87" i="4"/>
  <c r="H85" i="4"/>
  <c r="S58" i="4"/>
  <c r="T55" i="4"/>
  <c r="S55" i="4"/>
  <c r="R55" i="4"/>
  <c r="Q55" i="4"/>
  <c r="R56" i="4"/>
  <c r="R58" i="4" s="1"/>
  <c r="S56" i="4"/>
  <c r="T56" i="4"/>
  <c r="T58" i="4" s="1"/>
  <c r="Q56" i="4"/>
  <c r="Q58" i="4" s="1"/>
  <c r="O56" i="4"/>
  <c r="AI57" i="4"/>
  <c r="K38" i="4"/>
  <c r="L13" i="11"/>
  <c r="K13" i="11"/>
  <c r="J13" i="11"/>
  <c r="I13" i="11"/>
  <c r="H13" i="11"/>
  <c r="L11" i="11"/>
  <c r="K11" i="11"/>
  <c r="J11" i="11"/>
  <c r="I11" i="11"/>
  <c r="H11" i="11"/>
  <c r="L7" i="11"/>
  <c r="K7" i="11"/>
  <c r="J7" i="11"/>
  <c r="I7" i="11"/>
  <c r="H7" i="11"/>
  <c r="L5" i="11"/>
  <c r="K5" i="11"/>
  <c r="J5" i="11"/>
  <c r="I5" i="11"/>
  <c r="H5" i="11"/>
  <c r="I2" i="11"/>
  <c r="J2" i="11"/>
  <c r="K2" i="11"/>
  <c r="L2" i="11"/>
  <c r="H2" i="11"/>
  <c r="C5" i="11"/>
  <c r="Q21" i="9"/>
  <c r="M23" i="9"/>
  <c r="S49" i="10"/>
  <c r="S51" i="10"/>
  <c r="S53" i="10" s="1"/>
  <c r="C9" i="11"/>
  <c r="C16" i="11"/>
  <c r="D16" i="11"/>
  <c r="E16" i="11"/>
  <c r="F16" i="11"/>
  <c r="B15" i="11"/>
  <c r="C15" i="11"/>
  <c r="D15" i="11"/>
  <c r="E15" i="11"/>
  <c r="F15" i="11"/>
  <c r="C13" i="11"/>
  <c r="D13" i="11"/>
  <c r="E13" i="11"/>
  <c r="E14" i="11" s="1"/>
  <c r="F13" i="11"/>
  <c r="F14" i="11" s="1"/>
  <c r="C11" i="11"/>
  <c r="C12" i="11" s="1"/>
  <c r="D11" i="11"/>
  <c r="E11" i="11"/>
  <c r="E12" i="11" s="1"/>
  <c r="F11" i="11"/>
  <c r="D9" i="11"/>
  <c r="E9" i="11"/>
  <c r="F9" i="11"/>
  <c r="B7" i="11"/>
  <c r="C7" i="11"/>
  <c r="C8" i="11" s="1"/>
  <c r="D7" i="11"/>
  <c r="E7" i="11"/>
  <c r="E8" i="11" s="1"/>
  <c r="F7" i="11"/>
  <c r="B5" i="11"/>
  <c r="D5" i="11"/>
  <c r="E5" i="11"/>
  <c r="F5" i="11"/>
  <c r="F6" i="11" s="1"/>
  <c r="A16" i="11"/>
  <c r="A15" i="11"/>
  <c r="A13" i="11"/>
  <c r="A14" i="11" s="1"/>
  <c r="A7" i="11"/>
  <c r="A8" i="11" s="1"/>
  <c r="A9" i="11"/>
  <c r="A11" i="11"/>
  <c r="A12" i="11" s="1"/>
  <c r="A5" i="11"/>
  <c r="A6" i="11" s="1"/>
  <c r="C2" i="11"/>
  <c r="D2" i="11"/>
  <c r="D12" i="11" s="1"/>
  <c r="E2" i="11"/>
  <c r="F2" i="11"/>
  <c r="A2" i="11"/>
  <c r="U51" i="10"/>
  <c r="T51" i="10"/>
  <c r="R51" i="10"/>
  <c r="R53" i="10" s="1"/>
  <c r="Q51" i="10"/>
  <c r="Q53" i="10" s="1"/>
  <c r="P51" i="10"/>
  <c r="O51" i="10"/>
  <c r="N51" i="10"/>
  <c r="U49" i="10"/>
  <c r="R49" i="10"/>
  <c r="Q49" i="10"/>
  <c r="P49" i="10"/>
  <c r="N49" i="10"/>
  <c r="O49" i="10"/>
  <c r="O53" i="10"/>
  <c r="N53" i="10"/>
  <c r="T49" i="10"/>
  <c r="F53" i="10"/>
  <c r="C53" i="10"/>
  <c r="I51" i="10"/>
  <c r="J51" i="10"/>
  <c r="J53" i="10" s="1"/>
  <c r="C51" i="10"/>
  <c r="D51" i="10"/>
  <c r="D53" i="10" s="1"/>
  <c r="E51" i="10"/>
  <c r="F51" i="10"/>
  <c r="G51" i="10"/>
  <c r="G53" i="10" s="1"/>
  <c r="H51" i="10"/>
  <c r="H53" i="10" s="1"/>
  <c r="B51" i="10"/>
  <c r="J49" i="10"/>
  <c r="I49" i="10"/>
  <c r="H49" i="10"/>
  <c r="G49" i="10"/>
  <c r="F49" i="10"/>
  <c r="E49" i="10"/>
  <c r="E53" i="10" s="1"/>
  <c r="D49" i="10"/>
  <c r="C49" i="10"/>
  <c r="B49" i="10"/>
  <c r="D63" i="4"/>
  <c r="E63" i="4"/>
  <c r="E65" i="4" s="1"/>
  <c r="F63" i="4"/>
  <c r="F65" i="4" s="1"/>
  <c r="C63" i="4"/>
  <c r="C65" i="4" s="1"/>
  <c r="F61" i="4"/>
  <c r="E61" i="4"/>
  <c r="D61" i="4"/>
  <c r="C61" i="4"/>
  <c r="D92" i="9"/>
  <c r="C91" i="9"/>
  <c r="D91" i="9"/>
  <c r="E92" i="9" s="1"/>
  <c r="E91" i="9"/>
  <c r="B91" i="9"/>
  <c r="E90" i="9"/>
  <c r="D90" i="9"/>
  <c r="C90" i="9"/>
  <c r="B90" i="9"/>
  <c r="A85" i="9"/>
  <c r="D84" i="9"/>
  <c r="E84" i="9"/>
  <c r="F84" i="9"/>
  <c r="G84" i="9"/>
  <c r="C84" i="9"/>
  <c r="A84" i="9"/>
  <c r="A83" i="9"/>
  <c r="A82" i="9"/>
  <c r="A81" i="9"/>
  <c r="A80" i="9"/>
  <c r="J67" i="9"/>
  <c r="K67" i="9"/>
  <c r="L67" i="9"/>
  <c r="I76" i="9" s="1"/>
  <c r="J76" i="9" s="1"/>
  <c r="I67" i="9"/>
  <c r="L66" i="9"/>
  <c r="K66" i="9"/>
  <c r="J66" i="9"/>
  <c r="I66" i="9"/>
  <c r="C66" i="9"/>
  <c r="D66" i="9"/>
  <c r="E66" i="9"/>
  <c r="B72" i="9" s="1"/>
  <c r="B66" i="9"/>
  <c r="E65" i="9"/>
  <c r="D65" i="9"/>
  <c r="C65" i="9"/>
  <c r="B65" i="9"/>
  <c r="N56" i="9"/>
  <c r="M56" i="9"/>
  <c r="L56" i="9"/>
  <c r="K56" i="9"/>
  <c r="J56" i="9"/>
  <c r="J50" i="9"/>
  <c r="K50" i="9"/>
  <c r="L50" i="9"/>
  <c r="I55" i="9" s="1"/>
  <c r="I50" i="9"/>
  <c r="J51" i="9" s="1"/>
  <c r="L49" i="9"/>
  <c r="K49" i="9"/>
  <c r="J49" i="9"/>
  <c r="I49" i="9"/>
  <c r="K39" i="9"/>
  <c r="L39" i="9"/>
  <c r="M39" i="9"/>
  <c r="N39" i="9"/>
  <c r="J39" i="9"/>
  <c r="G46" i="9"/>
  <c r="F46" i="9"/>
  <c r="E46" i="9"/>
  <c r="D46" i="9"/>
  <c r="C58" i="9"/>
  <c r="E62" i="9" s="1"/>
  <c r="C50" i="9"/>
  <c r="D50" i="9"/>
  <c r="D51" i="9" s="1"/>
  <c r="E50" i="9"/>
  <c r="B61" i="9" s="1"/>
  <c r="C49" i="9"/>
  <c r="D49" i="9"/>
  <c r="E49" i="9"/>
  <c r="B50" i="9"/>
  <c r="B49" i="9"/>
  <c r="J29" i="9"/>
  <c r="K29" i="9"/>
  <c r="L29" i="9"/>
  <c r="I29" i="9"/>
  <c r="C41" i="9"/>
  <c r="C46" i="9" s="1"/>
  <c r="C29" i="9"/>
  <c r="D29" i="9"/>
  <c r="E29" i="9"/>
  <c r="C28" i="9"/>
  <c r="D28" i="9"/>
  <c r="E28" i="9"/>
  <c r="B28" i="9"/>
  <c r="AP36" i="4"/>
  <c r="AP29" i="4"/>
  <c r="AP28" i="4"/>
  <c r="AP21" i="4"/>
  <c r="AL50" i="4"/>
  <c r="AK50" i="4"/>
  <c r="AJ50" i="4"/>
  <c r="AI50" i="4"/>
  <c r="AH50" i="4"/>
  <c r="AG50" i="4"/>
  <c r="AF50" i="4"/>
  <c r="AC50" i="4"/>
  <c r="AL47" i="4"/>
  <c r="AK47" i="4"/>
  <c r="AJ47" i="4"/>
  <c r="AI47" i="4"/>
  <c r="AH47" i="4"/>
  <c r="AG47" i="4"/>
  <c r="AF47" i="4"/>
  <c r="AD47" i="4"/>
  <c r="AE47" i="4"/>
  <c r="AC47" i="4"/>
  <c r="AL44" i="4"/>
  <c r="AK44" i="4"/>
  <c r="AJ44" i="4"/>
  <c r="AI44" i="4"/>
  <c r="AH44" i="4"/>
  <c r="AG44" i="4"/>
  <c r="AF44" i="4"/>
  <c r="AD44" i="4"/>
  <c r="AE44" i="4"/>
  <c r="AC44" i="4"/>
  <c r="AE50" i="4"/>
  <c r="AD50" i="4"/>
  <c r="Z50" i="4"/>
  <c r="Y50" i="4"/>
  <c r="X50" i="4"/>
  <c r="W50" i="4"/>
  <c r="V50" i="4"/>
  <c r="U50" i="4"/>
  <c r="T50" i="4"/>
  <c r="S50" i="4"/>
  <c r="R50" i="4"/>
  <c r="Q50" i="4"/>
  <c r="Z47" i="4"/>
  <c r="Y47" i="4"/>
  <c r="X47" i="4"/>
  <c r="W47" i="4"/>
  <c r="V47" i="4"/>
  <c r="U47" i="4"/>
  <c r="T47" i="4"/>
  <c r="S47" i="4"/>
  <c r="R47" i="4"/>
  <c r="Q47" i="4"/>
  <c r="R44" i="4"/>
  <c r="S44" i="4"/>
  <c r="T44" i="4"/>
  <c r="U44" i="4"/>
  <c r="V44" i="4"/>
  <c r="W44" i="4"/>
  <c r="X44" i="4"/>
  <c r="Y44" i="4"/>
  <c r="Z44" i="4"/>
  <c r="Q44" i="4"/>
  <c r="L51" i="4"/>
  <c r="K51" i="4"/>
  <c r="J51" i="4"/>
  <c r="G51" i="4"/>
  <c r="H51" i="4"/>
  <c r="I51" i="4"/>
  <c r="F51" i="4"/>
  <c r="E51" i="4"/>
  <c r="D51" i="4"/>
  <c r="C51" i="4"/>
  <c r="L47" i="4"/>
  <c r="K47" i="4"/>
  <c r="E47" i="4"/>
  <c r="F47" i="4"/>
  <c r="G47" i="4"/>
  <c r="H47" i="4"/>
  <c r="D47" i="4"/>
  <c r="C47" i="4"/>
  <c r="L44" i="4"/>
  <c r="K44" i="4"/>
  <c r="I44" i="4"/>
  <c r="H44" i="4"/>
  <c r="G44" i="4"/>
  <c r="E44" i="4"/>
  <c r="D44" i="4"/>
  <c r="C44" i="4"/>
  <c r="D39" i="8"/>
  <c r="D38" i="8"/>
  <c r="D37" i="8"/>
  <c r="D36" i="8"/>
  <c r="D35" i="8"/>
  <c r="C38" i="8"/>
  <c r="D29" i="8"/>
  <c r="C35" i="8" s="1"/>
  <c r="E29" i="8"/>
  <c r="C36" i="8" s="1"/>
  <c r="F29" i="8"/>
  <c r="G29" i="8"/>
  <c r="H29" i="8"/>
  <c r="I29" i="8"/>
  <c r="C39" i="8" s="1"/>
  <c r="C29" i="8"/>
  <c r="V29" i="8"/>
  <c r="W29" i="8"/>
  <c r="X29" i="8"/>
  <c r="Y29" i="8"/>
  <c r="Z29" i="8"/>
  <c r="C17" i="9"/>
  <c r="B11" i="9"/>
  <c r="B29" i="9" s="1"/>
  <c r="T29" i="8"/>
  <c r="E35" i="8" s="1"/>
  <c r="U29" i="8"/>
  <c r="E36" i="8" s="1"/>
  <c r="AA29" i="8"/>
  <c r="S29" i="8"/>
  <c r="E34" i="8" s="1"/>
  <c r="F10" i="5"/>
  <c r="E10" i="5"/>
  <c r="D10" i="5"/>
  <c r="C10" i="5"/>
  <c r="C6" i="11" l="1"/>
  <c r="B55" i="14"/>
  <c r="B57" i="14" s="1"/>
  <c r="M53" i="16"/>
  <c r="M58" i="16"/>
  <c r="C20" i="15"/>
  <c r="D21" i="15"/>
  <c r="D23" i="15" s="1"/>
  <c r="D25" i="15" s="1"/>
  <c r="E21" i="15"/>
  <c r="E23" i="15" s="1"/>
  <c r="E25" i="15" s="1"/>
  <c r="D20" i="15"/>
  <c r="G21" i="15"/>
  <c r="G23" i="15" s="1"/>
  <c r="G25" i="15" s="1"/>
  <c r="F20" i="15"/>
  <c r="E20" i="15"/>
  <c r="G20" i="15"/>
  <c r="G6" i="13"/>
  <c r="K6" i="13"/>
  <c r="I13" i="13"/>
  <c r="I50" i="5" s="1"/>
  <c r="I8" i="13"/>
  <c r="H13" i="13"/>
  <c r="H50" i="5" s="1"/>
  <c r="H8" i="13"/>
  <c r="J6" i="13"/>
  <c r="I42" i="5"/>
  <c r="B17" i="12"/>
  <c r="B19" i="12" s="1"/>
  <c r="B31" i="12"/>
  <c r="B35" i="12" s="1"/>
  <c r="B32" i="12"/>
  <c r="E7" i="12"/>
  <c r="E11" i="12" s="1"/>
  <c r="D7" i="12"/>
  <c r="D17" i="12" s="1"/>
  <c r="D19" i="12" s="1"/>
  <c r="K25" i="12"/>
  <c r="G17" i="5"/>
  <c r="C7" i="12"/>
  <c r="C17" i="12" s="1"/>
  <c r="C19" i="12" s="1"/>
  <c r="J30" i="3"/>
  <c r="I34" i="3"/>
  <c r="G41" i="3"/>
  <c r="J43" i="5"/>
  <c r="K43" i="5" s="1"/>
  <c r="D65" i="4"/>
  <c r="D14" i="11"/>
  <c r="C14" i="11"/>
  <c r="D6" i="11"/>
  <c r="E6" i="11"/>
  <c r="F8" i="11"/>
  <c r="F12" i="11"/>
  <c r="D8" i="11"/>
  <c r="C92" i="9"/>
  <c r="L68" i="9"/>
  <c r="I77" i="9" s="1"/>
  <c r="U53" i="10"/>
  <c r="P53" i="10"/>
  <c r="C51" i="9"/>
  <c r="K51" i="9"/>
  <c r="L51" i="9"/>
  <c r="D67" i="9"/>
  <c r="C67" i="9"/>
  <c r="K76" i="9"/>
  <c r="C83" i="9"/>
  <c r="E67" i="9"/>
  <c r="B73" i="9" s="1"/>
  <c r="K68" i="9"/>
  <c r="D62" i="9"/>
  <c r="J68" i="9"/>
  <c r="J55" i="9"/>
  <c r="C62" i="9"/>
  <c r="C61" i="9" s="1"/>
  <c r="G62" i="9"/>
  <c r="F62" i="9"/>
  <c r="E51" i="9"/>
  <c r="D30" i="9"/>
  <c r="K30" i="9"/>
  <c r="L30" i="9"/>
  <c r="J30" i="9"/>
  <c r="E30" i="9"/>
  <c r="I38" i="9"/>
  <c r="J38" i="9" s="1"/>
  <c r="B45" i="9"/>
  <c r="C45" i="9" s="1"/>
  <c r="C30" i="9"/>
  <c r="E40" i="8"/>
  <c r="C40" i="8"/>
  <c r="D34" i="8" s="1"/>
  <c r="D40" i="8" s="1"/>
  <c r="Y45" i="4"/>
  <c r="Z52" i="4"/>
  <c r="K45" i="4"/>
  <c r="K49" i="4"/>
  <c r="L53" i="4"/>
  <c r="Y49" i="4"/>
  <c r="J44" i="4"/>
  <c r="Y46" i="4"/>
  <c r="Y52" i="4"/>
  <c r="F44" i="4"/>
  <c r="K53" i="4"/>
  <c r="Z46" i="4"/>
  <c r="Z49" i="4"/>
  <c r="AL49" i="4"/>
  <c r="AL52" i="4"/>
  <c r="K46" i="4"/>
  <c r="J47" i="4"/>
  <c r="L49" i="4" s="1"/>
  <c r="AK52" i="4"/>
  <c r="AK49" i="4"/>
  <c r="AK45" i="4"/>
  <c r="AK46" i="4"/>
  <c r="AL46" i="4"/>
  <c r="G9" i="16" l="1"/>
  <c r="B26" i="15"/>
  <c r="C34" i="15" s="1"/>
  <c r="C35" i="15" s="1"/>
  <c r="J13" i="13"/>
  <c r="J50" i="5" s="1"/>
  <c r="J8" i="13"/>
  <c r="H54" i="5"/>
  <c r="J13" i="3"/>
  <c r="I19" i="5"/>
  <c r="I13" i="3"/>
  <c r="H19" i="5"/>
  <c r="L20" i="6" s="1"/>
  <c r="L21" i="6"/>
  <c r="I54" i="5"/>
  <c r="K13" i="13"/>
  <c r="K50" i="5" s="1"/>
  <c r="K8" i="13"/>
  <c r="K19" i="5" s="1"/>
  <c r="G13" i="13"/>
  <c r="G50" i="5" s="1"/>
  <c r="G8" i="13"/>
  <c r="D11" i="12"/>
  <c r="J42" i="5"/>
  <c r="K42" i="5" s="1"/>
  <c r="B11" i="12"/>
  <c r="E17" i="12"/>
  <c r="E19" i="12" s="1"/>
  <c r="B34" i="12"/>
  <c r="B38" i="12" s="1"/>
  <c r="C11" i="12"/>
  <c r="C27" i="12"/>
  <c r="C29" i="12" s="1"/>
  <c r="L25" i="12"/>
  <c r="H17" i="5"/>
  <c r="I41" i="3"/>
  <c r="K30" i="3"/>
  <c r="K34" i="3" s="1"/>
  <c r="J34" i="3"/>
  <c r="J41" i="3"/>
  <c r="H41" i="3"/>
  <c r="H40" i="3"/>
  <c r="I40" i="3"/>
  <c r="L46" i="4"/>
  <c r="D61" i="9"/>
  <c r="C82" i="9"/>
  <c r="K55" i="9"/>
  <c r="C85" i="9"/>
  <c r="D45" i="9"/>
  <c r="C80" i="9"/>
  <c r="K38" i="9"/>
  <c r="C81" i="9"/>
  <c r="L76" i="9"/>
  <c r="D83" i="9"/>
  <c r="L45" i="4"/>
  <c r="H13" i="3" l="1"/>
  <c r="G19" i="5"/>
  <c r="G13" i="3"/>
  <c r="G54" i="5"/>
  <c r="J21" i="6"/>
  <c r="K21" i="6"/>
  <c r="N21" i="6"/>
  <c r="K54" i="5"/>
  <c r="J19" i="5"/>
  <c r="N20" i="6" s="1"/>
  <c r="K13" i="3"/>
  <c r="M21" i="6"/>
  <c r="J54" i="5"/>
  <c r="M25" i="12"/>
  <c r="I17" i="5"/>
  <c r="D27" i="12"/>
  <c r="D29" i="12" s="1"/>
  <c r="C32" i="12"/>
  <c r="C31" i="12"/>
  <c r="C35" i="12" s="1"/>
  <c r="B45" i="12"/>
  <c r="G38" i="5" s="1"/>
  <c r="G45" i="5" s="1"/>
  <c r="C34" i="12"/>
  <c r="C38" i="12" s="1"/>
  <c r="B40" i="12"/>
  <c r="G16" i="3" s="1"/>
  <c r="K40" i="3"/>
  <c r="J40" i="3"/>
  <c r="C86" i="9"/>
  <c r="H63" i="4" s="1"/>
  <c r="H61" i="4" s="1"/>
  <c r="L38" i="9"/>
  <c r="D81" i="9"/>
  <c r="E45" i="9"/>
  <c r="D80" i="9"/>
  <c r="L55" i="9"/>
  <c r="D85" i="9"/>
  <c r="M76" i="9"/>
  <c r="E83" i="9"/>
  <c r="E61" i="9"/>
  <c r="D82" i="9"/>
  <c r="G56" i="5" l="1"/>
  <c r="M20" i="6"/>
  <c r="K20" i="6"/>
  <c r="J20" i="6"/>
  <c r="G19" i="3"/>
  <c r="G20" i="3" s="1"/>
  <c r="G22" i="3" s="1"/>
  <c r="G24" i="3" s="1"/>
  <c r="J4" i="6" s="1"/>
  <c r="J17" i="6" s="1"/>
  <c r="J22" i="6" s="1"/>
  <c r="J24" i="6" s="1"/>
  <c r="J16" i="6"/>
  <c r="J48" i="6"/>
  <c r="C40" i="12"/>
  <c r="H16" i="3" s="1"/>
  <c r="C45" i="12"/>
  <c r="H38" i="5" s="1"/>
  <c r="H45" i="5" s="1"/>
  <c r="H56" i="5" s="1"/>
  <c r="D34" i="12"/>
  <c r="D31" i="12"/>
  <c r="D35" i="12" s="1"/>
  <c r="D32" i="12"/>
  <c r="N25" i="12"/>
  <c r="E27" i="12"/>
  <c r="E29" i="12" s="1"/>
  <c r="J17" i="5"/>
  <c r="G26" i="3"/>
  <c r="G26" i="11" s="1"/>
  <c r="K41" i="3"/>
  <c r="H69" i="4"/>
  <c r="H70" i="4"/>
  <c r="H68" i="4"/>
  <c r="D86" i="9"/>
  <c r="I63" i="4" s="1"/>
  <c r="I61" i="4" s="1"/>
  <c r="F61" i="9"/>
  <c r="E82" i="9"/>
  <c r="M38" i="9"/>
  <c r="E81" i="9"/>
  <c r="F83" i="9"/>
  <c r="N76" i="9"/>
  <c r="G83" i="9" s="1"/>
  <c r="M55" i="9"/>
  <c r="E85" i="9"/>
  <c r="F45" i="9"/>
  <c r="E80" i="9"/>
  <c r="H19" i="3" l="1"/>
  <c r="H20" i="3" s="1"/>
  <c r="H22" i="3" s="1"/>
  <c r="H24" i="3" s="1"/>
  <c r="K16" i="6"/>
  <c r="K48" i="6"/>
  <c r="E32" i="12"/>
  <c r="E31" i="12"/>
  <c r="E35" i="12" s="1"/>
  <c r="K17" i="5"/>
  <c r="F27" i="12"/>
  <c r="F29" i="12" s="1"/>
  <c r="D38" i="12"/>
  <c r="G28" i="3"/>
  <c r="H74" i="4"/>
  <c r="H80" i="4" s="1"/>
  <c r="H73" i="4"/>
  <c r="H79" i="4" s="1"/>
  <c r="H75" i="4"/>
  <c r="H81" i="4" s="1"/>
  <c r="I69" i="4"/>
  <c r="I70" i="4"/>
  <c r="I68" i="4"/>
  <c r="H76" i="4"/>
  <c r="E86" i="9"/>
  <c r="J63" i="4" s="1"/>
  <c r="J61" i="4" s="1"/>
  <c r="G45" i="9"/>
  <c r="G80" i="9" s="1"/>
  <c r="F80" i="9"/>
  <c r="G61" i="9"/>
  <c r="G82" i="9" s="1"/>
  <c r="F82" i="9"/>
  <c r="N55" i="9"/>
  <c r="G85" i="9" s="1"/>
  <c r="F85" i="9"/>
  <c r="N38" i="9"/>
  <c r="G81" i="9" s="1"/>
  <c r="F81" i="9"/>
  <c r="H26" i="3" l="1"/>
  <c r="H28" i="3" s="1"/>
  <c r="K4" i="6"/>
  <c r="K17" i="6" s="1"/>
  <c r="K22" i="6" s="1"/>
  <c r="K24" i="6" s="1"/>
  <c r="F32" i="12"/>
  <c r="F31" i="12"/>
  <c r="F35" i="12" s="1"/>
  <c r="G37" i="3"/>
  <c r="G38" i="3"/>
  <c r="G35" i="3"/>
  <c r="E34" i="12"/>
  <c r="E38" i="12" s="1"/>
  <c r="D40" i="12"/>
  <c r="I16" i="3" s="1"/>
  <c r="D45" i="12"/>
  <c r="I38" i="5" s="1"/>
  <c r="I45" i="5" s="1"/>
  <c r="I56" i="5" s="1"/>
  <c r="H82" i="4"/>
  <c r="I75" i="4"/>
  <c r="I81" i="4"/>
  <c r="I73" i="4"/>
  <c r="I79" i="4" s="1"/>
  <c r="I82" i="4" s="1"/>
  <c r="I74" i="4"/>
  <c r="I80" i="4"/>
  <c r="I76" i="4"/>
  <c r="J70" i="4"/>
  <c r="J68" i="4"/>
  <c r="J69" i="4"/>
  <c r="F86" i="9"/>
  <c r="K63" i="4" s="1"/>
  <c r="K61" i="4" s="1"/>
  <c r="G86" i="9"/>
  <c r="L63" i="4" s="1"/>
  <c r="L61" i="4" s="1"/>
  <c r="I19" i="3" l="1"/>
  <c r="I20" i="3" s="1"/>
  <c r="I22" i="3" s="1"/>
  <c r="I24" i="3" s="1"/>
  <c r="L4" i="6" s="1"/>
  <c r="L16" i="6"/>
  <c r="L48" i="6"/>
  <c r="H38" i="3"/>
  <c r="H35" i="3"/>
  <c r="H37" i="3"/>
  <c r="G53" i="3"/>
  <c r="I26" i="3"/>
  <c r="I28" i="3"/>
  <c r="F34" i="12"/>
  <c r="F38" i="12" s="1"/>
  <c r="E40" i="12"/>
  <c r="J16" i="3" s="1"/>
  <c r="E45" i="12"/>
  <c r="J38" i="5" s="1"/>
  <c r="J45" i="5" s="1"/>
  <c r="J56" i="5" s="1"/>
  <c r="G44" i="3"/>
  <c r="G43" i="3"/>
  <c r="J73" i="4"/>
  <c r="J79" i="4" s="1"/>
  <c r="J82" i="4" s="1"/>
  <c r="J74" i="4"/>
  <c r="J80" i="4"/>
  <c r="J75" i="4"/>
  <c r="J81" i="4"/>
  <c r="L69" i="4"/>
  <c r="L70" i="4"/>
  <c r="L68" i="4"/>
  <c r="K70" i="4"/>
  <c r="K69" i="4"/>
  <c r="K68" i="4"/>
  <c r="J76" i="4"/>
  <c r="H43" i="3" l="1"/>
  <c r="H53" i="3"/>
  <c r="H44" i="3"/>
  <c r="J19" i="3"/>
  <c r="J20" i="3" s="1"/>
  <c r="J22" i="3" s="1"/>
  <c r="J24" i="3" s="1"/>
  <c r="M4" i="6" s="1"/>
  <c r="M16" i="6"/>
  <c r="M48" i="6"/>
  <c r="L17" i="6"/>
  <c r="L22" i="6" s="1"/>
  <c r="L24" i="6" s="1"/>
  <c r="F40" i="8"/>
  <c r="J47" i="6"/>
  <c r="J49" i="6" s="1"/>
  <c r="J50" i="6" s="1"/>
  <c r="J53" i="6" s="1"/>
  <c r="F40" i="12"/>
  <c r="K16" i="3" s="1"/>
  <c r="F45" i="12"/>
  <c r="K38" i="5" s="1"/>
  <c r="K45" i="5" s="1"/>
  <c r="K56" i="5" s="1"/>
  <c r="I37" i="3"/>
  <c r="I35" i="3"/>
  <c r="I38" i="3"/>
  <c r="L75" i="4"/>
  <c r="L81" i="4" s="1"/>
  <c r="L74" i="4"/>
  <c r="L80" i="4" s="1"/>
  <c r="K73" i="4"/>
  <c r="K76" i="4" s="1"/>
  <c r="K79" i="4"/>
  <c r="K74" i="4"/>
  <c r="K80" i="4"/>
  <c r="K75" i="4"/>
  <c r="K81" i="4" s="1"/>
  <c r="L73" i="4"/>
  <c r="L79" i="4"/>
  <c r="L76" i="4"/>
  <c r="I53" i="3" l="1"/>
  <c r="K19" i="3"/>
  <c r="K20" i="3" s="1"/>
  <c r="K22" i="3" s="1"/>
  <c r="K24" i="3" s="1"/>
  <c r="N4" i="6" s="1"/>
  <c r="N16" i="6"/>
  <c r="N48" i="6"/>
  <c r="M17" i="6"/>
  <c r="M22" i="6" s="1"/>
  <c r="M24" i="6" s="1"/>
  <c r="J26" i="3"/>
  <c r="J28" i="3" s="1"/>
  <c r="J35" i="3" s="1"/>
  <c r="G23" i="5"/>
  <c r="G27" i="5" s="1"/>
  <c r="G29" i="5" s="1"/>
  <c r="K51" i="6"/>
  <c r="K47" i="6"/>
  <c r="K49" i="6" s="1"/>
  <c r="K50" i="6" s="1"/>
  <c r="G34" i="8"/>
  <c r="G40" i="8" s="1"/>
  <c r="G33" i="5"/>
  <c r="G57" i="5" s="1"/>
  <c r="I44" i="3"/>
  <c r="I43" i="3"/>
  <c r="K82" i="4"/>
  <c r="L82" i="4"/>
  <c r="N17" i="6" l="1"/>
  <c r="N22" i="6" s="1"/>
  <c r="N24" i="6" s="1"/>
  <c r="K53" i="6"/>
  <c r="J53" i="3"/>
  <c r="H34" i="8"/>
  <c r="H33" i="5"/>
  <c r="H57" i="5" s="1"/>
  <c r="K26" i="3"/>
  <c r="K28" i="3" s="1"/>
  <c r="K35" i="3" s="1"/>
  <c r="J37" i="3"/>
  <c r="J38" i="3"/>
  <c r="L51" i="6"/>
  <c r="H23" i="5"/>
  <c r="H27" i="5" s="1"/>
  <c r="H29" i="5" s="1"/>
  <c r="L47" i="6"/>
  <c r="L49" i="6" s="1"/>
  <c r="L50" i="6" s="1"/>
  <c r="K37" i="3"/>
  <c r="J44" i="3"/>
  <c r="J43" i="3"/>
  <c r="K38" i="3" l="1"/>
  <c r="K53" i="3"/>
  <c r="H40" i="8"/>
  <c r="L53" i="6"/>
  <c r="M47" i="6"/>
  <c r="M49" i="6" s="1"/>
  <c r="M50" i="6" s="1"/>
  <c r="K43" i="3"/>
  <c r="K44" i="3"/>
  <c r="M51" i="6" l="1"/>
  <c r="M53" i="6" s="1"/>
  <c r="I23" i="5"/>
  <c r="I27" i="5" s="1"/>
  <c r="I29" i="5" s="1"/>
  <c r="I34" i="8"/>
  <c r="I40" i="8" s="1"/>
  <c r="I33" i="5"/>
  <c r="I57" i="5" s="1"/>
  <c r="N47" i="6"/>
  <c r="N49" i="6" s="1"/>
  <c r="N50" i="6" s="1"/>
  <c r="J33" i="5" l="1"/>
  <c r="J57" i="5" s="1"/>
  <c r="J34" i="8"/>
  <c r="J40" i="8" s="1"/>
  <c r="K33" i="5" s="1"/>
  <c r="K57" i="5" s="1"/>
  <c r="N51" i="6"/>
  <c r="N53" i="6" s="1"/>
  <c r="K23" i="5" s="1"/>
  <c r="K27" i="5" s="1"/>
  <c r="K29" i="5" s="1"/>
  <c r="J23" i="5"/>
  <c r="J27" i="5" s="1"/>
  <c r="J29"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6225A6-633F-47AB-BE5C-246C1807813D}" keepAlive="1" name="Query - Table 0 (2)" description="Connection to the 'Table 0 (2)' query in the workbook." type="5" refreshedVersion="8" background="1" saveData="1">
    <dbPr connection="Provider=Microsoft.Mashup.OleDb.1;Data Source=$Workbook$;Location=&quot;Table 0 (2)&quot;;Extended Properties=&quot;&quot;" command="SELECT * FROM [Table 0 (2)]"/>
  </connection>
  <connection id="2" xr16:uid="{A514388D-49F8-4847-88B5-19EA5EE45ED1}" keepAlive="1" name="Query - Table 0 (3)" description="Connection to the 'Table 0 (3)' query in the workbook." type="5" refreshedVersion="8" background="1" saveData="1">
    <dbPr connection="Provider=Microsoft.Mashup.OleDb.1;Data Source=$Workbook$;Location=&quot;Table 0 (3)&quot;;Extended Properties=&quot;&quot;" command="SELECT * FROM [Table 0 (3)]"/>
  </connection>
  <connection id="3" xr16:uid="{3DE835F7-63B0-4646-8A21-99F1883F3664}" keepAlive="1" name="Query - Table 0 (4)" description="Connection to the 'Table 0 (4)' query in the workbook." type="5" refreshedVersion="8" saveData="1">
    <dbPr connection="Provider=Microsoft.Mashup.OleDb.1;Data Source=$Workbook$;Location=&quot;Table 0 (4)&quot;;Extended Properties=&quot;&quot;" command="SELECT * FROM [Table 0 (4)]"/>
  </connection>
  <connection id="4" xr16:uid="{5BB3C929-C804-451D-956C-6C5F66987425}" keepAlive="1" name="Query - Table 0 (5)" description="Connection to the 'Table 0 (5)' query in the workbook." type="5" refreshedVersion="8" saveData="1">
    <dbPr connection="Provider=Microsoft.Mashup.OleDb.1;Data Source=$Workbook$;Location=&quot;Table 0 (5)&quot;;Extended Properties=&quot;&quot;" command="SELECT * FROM [Table 0 (5)]"/>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<sst xmlns="http://schemas.openxmlformats.org/spreadsheetml/2006/main" count="1541" uniqueCount="835">
  <si>
    <t>Notes</t>
  </si>
  <si>
    <t>As at
31st March, 2019</t>
  </si>
  <si>
    <t>31st March, 2020</t>
  </si>
  <si>
    <t>As at 31st March, 2021</t>
  </si>
  <si>
    <t>As at 31st March, 2022</t>
  </si>
  <si>
    <t>ASSETS</t>
  </si>
  <si>
    <t/>
  </si>
  <si>
    <t>NON-CURRENT ASSETS</t>
  </si>
  <si>
    <t>Property, Plant and Equipment</t>
  </si>
  <si>
    <t>1</t>
  </si>
  <si>
    <t>Capital Work-in-Progress</t>
  </si>
  <si>
    <t>Goodwill</t>
  </si>
  <si>
    <t>Other Intangible Assets</t>
  </si>
  <si>
    <t>Intangible Assets Under Development</t>
  </si>
  <si>
    <t>Total PPE</t>
  </si>
  <si>
    <t>Financial Assets</t>
  </si>
  <si>
    <t>Investments</t>
  </si>
  <si>
    <t>2</t>
  </si>
  <si>
    <t>Loans</t>
  </si>
  <si>
    <t>3</t>
  </si>
  <si>
    <t>Other Financial Assets</t>
  </si>
  <si>
    <t>Deferred Tax Assets (Net)</t>
  </si>
  <si>
    <t>4</t>
  </si>
  <si>
    <t>Other Non-Current Assets</t>
  </si>
  <si>
    <t>5</t>
  </si>
  <si>
    <t>Total Non-Current Assets</t>
  </si>
  <si>
    <t>CURRENT ASSETS</t>
  </si>
  <si>
    <t>Inventories</t>
  </si>
  <si>
    <t>6</t>
  </si>
  <si>
    <t>7</t>
  </si>
  <si>
    <t>Trade Receivables</t>
  </si>
  <si>
    <t>8</t>
  </si>
  <si>
    <t>Cash and Cash Equivalents</t>
  </si>
  <si>
    <t>9</t>
  </si>
  <si>
    <t>10</t>
  </si>
  <si>
    <t>Other Current Assets</t>
  </si>
  <si>
    <t>11</t>
  </si>
  <si>
    <t>Total Current Assets</t>
  </si>
  <si>
    <t>Assets Held for Sale</t>
  </si>
  <si>
    <t>39</t>
  </si>
  <si>
    <t>Total Assets</t>
  </si>
  <si>
    <t>EQUITY AND LIABILITIES</t>
  </si>
  <si>
    <t>EQUITY</t>
  </si>
  <si>
    <t>Equity Share Capital</t>
  </si>
  <si>
    <t>13</t>
  </si>
  <si>
    <t>Other Equity</t>
  </si>
  <si>
    <t>14</t>
  </si>
  <si>
    <t>Non-Controlling Interest</t>
  </si>
  <si>
    <t>LIABILITIES</t>
  </si>
  <si>
    <t>Non-Current Liabilities</t>
  </si>
  <si>
    <t>Financial Liabilities</t>
  </si>
  <si>
    <t>Borrowings</t>
  </si>
  <si>
    <t>15</t>
  </si>
  <si>
    <t>Other Financial Liabilities</t>
  </si>
  <si>
    <t>16</t>
  </si>
  <si>
    <t>Deferred Payment Liabilities</t>
  </si>
  <si>
    <t>17</t>
  </si>
  <si>
    <t>oyher financial liablities</t>
  </si>
  <si>
    <t>Provisions</t>
  </si>
  <si>
    <t>18</t>
  </si>
  <si>
    <t>Deferred Tax Liabilities (Net)</t>
  </si>
  <si>
    <t>Other Non-Current Liabilities</t>
  </si>
  <si>
    <t>Total Non-Current Liabilities</t>
  </si>
  <si>
    <t>Current Liabilities</t>
  </si>
  <si>
    <t>19</t>
  </si>
  <si>
    <t>Lease liablity</t>
  </si>
  <si>
    <t>Trade Payables</t>
  </si>
  <si>
    <t>20</t>
  </si>
  <si>
    <t>Other Current Liabilities</t>
  </si>
  <si>
    <t>21</t>
  </si>
  <si>
    <t>22</t>
  </si>
  <si>
    <t>Total Current Liabilities</t>
  </si>
  <si>
    <t>Liabilities directly associated with Assets Held for Sale</t>
  </si>
  <si>
    <t>Total Liabilities</t>
  </si>
  <si>
    <t>Total Equity and Liabilities</t>
  </si>
  <si>
    <t>Significant Accounting Policies</t>
  </si>
  <si>
    <t>See accompanying Notes to the Financial Statements</t>
  </si>
  <si>
    <t>1 to 42</t>
  </si>
  <si>
    <t>Transfer (to) / from Retained Earnings</t>
  </si>
  <si>
    <t>Transfer (to) / from General Reserve</t>
  </si>
  <si>
    <t>Balance as at 31st March, 2022</t>
  </si>
  <si>
    <t>Dividend</t>
  </si>
  <si>
    <t>Others</t>
  </si>
  <si>
    <t>Share Call Money Account</t>
  </si>
  <si>
    <t>-</t>
  </si>
  <si>
    <t>Reserves and Surplus</t>
  </si>
  <si>
    <t>Capital Reserve</t>
  </si>
  <si>
    <t>Capital Redemption Reserve</t>
  </si>
  <si>
    <t>Debenture Redemption Reserve</t>
  </si>
  <si>
    <t>Share Based Payments Reserve</t>
  </si>
  <si>
    <t>Statutory Reserve</t>
  </si>
  <si>
    <t>Securities Premium</t>
  </si>
  <si>
    <t>General Reserve</t>
  </si>
  <si>
    <t>Retained Earnings</t>
  </si>
  <si>
    <t>Other Comprehensive Income</t>
  </si>
  <si>
    <t>Total</t>
  </si>
  <si>
    <t>Land</t>
  </si>
  <si>
    <t>Buildings</t>
  </si>
  <si>
    <t>Plant &amp; Machinery</t>
  </si>
  <si>
    <t>Electrical Installations</t>
  </si>
  <si>
    <t>Furniture &amp; Fixtures</t>
  </si>
  <si>
    <t>Vehicles</t>
  </si>
  <si>
    <t>Ships</t>
  </si>
  <si>
    <t>Sub-Total</t>
  </si>
  <si>
    <t>Total (A)</t>
  </si>
  <si>
    <t>Technical Knowhow Fees</t>
  </si>
  <si>
    <t>Spectrum Cost</t>
  </si>
  <si>
    <t>Software</t>
  </si>
  <si>
    <t>Development Rights</t>
  </si>
  <si>
    <t>Total (B)</t>
  </si>
  <si>
    <t>Total (A+B)</t>
  </si>
  <si>
    <t>Previous Year</t>
  </si>
  <si>
    <t>Particulars</t>
  </si>
  <si>
    <t>Reliance Industries LTD Balancesheet</t>
  </si>
  <si>
    <t>2018-19</t>
  </si>
  <si>
    <t>2019-20</t>
  </si>
  <si>
    <t>2020-21</t>
  </si>
  <si>
    <t>2021-22</t>
  </si>
  <si>
    <t>INCOME</t>
  </si>
  <si>
    <t>Value of Sales</t>
  </si>
  <si>
    <t>5,85,540</t>
  </si>
  <si>
    <t>Income from Services</t>
  </si>
  <si>
    <t>39,672</t>
  </si>
  <si>
    <t>Value of Sales &amp; Services (Revenue)</t>
  </si>
  <si>
    <t>Less: GST Recovered</t>
  </si>
  <si>
    <t>42,118</t>
  </si>
  <si>
    <t>REVENUE FROM OPERATIONS</t>
  </si>
  <si>
    <t>23</t>
  </si>
  <si>
    <t>Other Income</t>
  </si>
  <si>
    <t>24</t>
  </si>
  <si>
    <t>Total Income</t>
  </si>
  <si>
    <t>EXPENSES</t>
  </si>
  <si>
    <t>Cost of Material Consumed</t>
  </si>
  <si>
    <t>Purchase of Stock-in-Trade</t>
  </si>
  <si>
    <t>Changes in Inventories of Finished Goods, Work-in-Progress and Stock-in-Trade</t>
  </si>
  <si>
    <t>25</t>
  </si>
  <si>
    <t>Excise Duty</t>
  </si>
  <si>
    <t>Employee Benefits Expense</t>
  </si>
  <si>
    <t>26</t>
  </si>
  <si>
    <t>Finance Costs</t>
  </si>
  <si>
    <t>27</t>
  </si>
  <si>
    <t>Depreciation/Amortisation and Depletion Expense</t>
  </si>
  <si>
    <t>20,934</t>
  </si>
  <si>
    <t>Other Expenses</t>
  </si>
  <si>
    <t>28</t>
  </si>
  <si>
    <t>Total Expenses</t>
  </si>
  <si>
    <t>5,36,356</t>
  </si>
  <si>
    <t>PROFIT BEFORE SHARE OF PROFIT / (LOSS) OF ASSOCIATES AND JOINT
VENTURES, EXCEPTIONAL ITEM AND TAX</t>
  </si>
  <si>
    <t>55,124</t>
  </si>
  <si>
    <t>Share of Profit / (Loss) of Associates and Joint Ventures</t>
  </si>
  <si>
    <t>103</t>
  </si>
  <si>
    <t>PROFIT BEFORE EXCEPTIONAL ITEM AND TAX</t>
  </si>
  <si>
    <t>55,227</t>
  </si>
  <si>
    <t>Exceptional Item (Net of Tax)</t>
  </si>
  <si>
    <t>28.2</t>
  </si>
  <si>
    <t>PROFIT BEFORE TAX*</t>
  </si>
  <si>
    <t>TAX EXPENSES</t>
  </si>
  <si>
    <t>Current Tax</t>
  </si>
  <si>
    <t>12</t>
  </si>
  <si>
    <t>Deferred Tax</t>
  </si>
  <si>
    <t>PROFIT FOR THE YEAR</t>
  </si>
  <si>
    <t>OTHER COMPREHENSIVE INCOME</t>
  </si>
  <si>
    <t>i. Items that will not be reclassified to Profit or Loss</t>
  </si>
  <si>
    <t>24.1</t>
  </si>
  <si>
    <t>ii. Income Tax relating to items that will not be reclassified to Profit or Loss</t>
  </si>
  <si>
    <t>(16,705)</t>
  </si>
  <si>
    <t>iii. Items that will be reclassified to Profit or Loss</t>
  </si>
  <si>
    <t>24.2</t>
  </si>
  <si>
    <t>(2,177)</t>
  </si>
  <si>
    <t>iv. Income tax relating to items that will be reclassified to Profit or Loss</t>
  </si>
  <si>
    <t>177</t>
  </si>
  <si>
    <t>Total Other Comprehensive Income/(Loss) for the Year (Net of Tax)</t>
  </si>
  <si>
    <t>58,765</t>
  </si>
  <si>
    <t>Total Comprehensive Income for the Year</t>
  </si>
  <si>
    <t>98,602</t>
  </si>
  <si>
    <t>NET PROFIT ATTRIBUTABLE TO:</t>
  </si>
  <si>
    <t>a) Owners of the Company</t>
  </si>
  <si>
    <t>39,588</t>
  </si>
  <si>
    <t>b) Non-Controlling Interest</t>
  </si>
  <si>
    <t>249</t>
  </si>
  <si>
    <t>OTHER COMPREHENSIVE INCOME ATTRIBUTABLE TO:</t>
  </si>
  <si>
    <t>58,773</t>
  </si>
  <si>
    <t>(8)</t>
  </si>
  <si>
    <t>TOTAL COMPREHENSIVE INCOME ATTRIBUTABLE TO:</t>
  </si>
  <si>
    <t>98,361</t>
  </si>
  <si>
    <t>241</t>
  </si>
  <si>
    <t>EARNINGS PER EQUITY SHARE OF FACE VALUE OF ` 10 EACH</t>
  </si>
  <si>
    <t>Basic (in `) – Before Exceptional Item</t>
  </si>
  <si>
    <t>29</t>
  </si>
  <si>
    <t>66.82</t>
  </si>
  <si>
    <t>Basic (in `) – After Exceptional Item</t>
  </si>
  <si>
    <t>Diluted (in `) – Before Exceptional Item</t>
  </si>
  <si>
    <t>66.80</t>
  </si>
  <si>
    <t>Diluted (in `) – After Exceptional Item</t>
  </si>
  <si>
    <t>Interest</t>
  </si>
  <si>
    <t>Retail</t>
  </si>
  <si>
    <t>O2C</t>
  </si>
  <si>
    <t>Segment Revenue</t>
  </si>
  <si>
    <t>External Turnover</t>
  </si>
  <si>
    <t>Inter Segment Turnover</t>
  </si>
  <si>
    <t>Value of Sales and Services (Revenue) *</t>
  </si>
  <si>
    <t>Revenue from Operations (Net of GST)</t>
  </si>
  <si>
    <t>Interest Income</t>
  </si>
  <si>
    <t>Profit Before Tax and Exceptional Items</t>
  </si>
  <si>
    <t>Profit Before Tax</t>
  </si>
  <si>
    <t>Other Information</t>
  </si>
  <si>
    <t>Capital Expenditure</t>
  </si>
  <si>
    <t>Depreciation / Amortisation and Depletion Expense</t>
  </si>
  <si>
    <t>CASH FLOW</t>
  </si>
  <si>
    <t>A.</t>
  </si>
  <si>
    <t>CASH FLOW FROM OPERATING ACTIVITIES</t>
  </si>
  <si>
    <t>NET PROFIT BEFORE TAX AS PER STATEMENT OF PROFIT AND LOSS
(AFTER EXCEPTIONAL ITEM AND TAX THEREON)</t>
  </si>
  <si>
    <t>Adjusted for:</t>
  </si>
  <si>
    <t>Share of (Profit) / Loss of Associates and Joint Ventures</t>
  </si>
  <si>
    <t>(103)</t>
  </si>
  <si>
    <t>Loss on Buy back of Debentures</t>
  </si>
  <si>
    <t>(Profit) / Loss on Sale / Discard of Property, Plant and Equipment and Other Intangible Asset (Net)</t>
  </si>
  <si>
    <t>33</t>
  </si>
  <si>
    <t>Effect of Exchange Rate Change</t>
  </si>
  <si>
    <t>(1,319)</t>
  </si>
  <si>
    <t>(Profit) / Loss on Divestment of Stake</t>
  </si>
  <si>
    <t>(20)</t>
  </si>
  <si>
    <t>Net Gain on Financial Assets#</t>
  </si>
  <si>
    <t>(2,471)</t>
  </si>
  <si>
    <t>Tax on Exceptional item</t>
  </si>
  <si>
    <t>Dividend Income#</t>
  </si>
  <si>
    <t>(501)</t>
  </si>
  <si>
    <t>Interest Income#</t>
  </si>
  <si>
    <t>(4,952)</t>
  </si>
  <si>
    <t>Finance Costs#</t>
  </si>
  <si>
    <t>16,491</t>
  </si>
  <si>
    <t>Operating Profit before Working Capital Changes</t>
  </si>
  <si>
    <t>83,319</t>
  </si>
  <si>
    <t>Trade and Other Receivables</t>
  </si>
  <si>
    <t>(40,136)</t>
  </si>
  <si>
    <t>(6,724)</t>
  </si>
  <si>
    <t>Trade and Other Payables</t>
  </si>
  <si>
    <t>18,078</t>
  </si>
  <si>
    <t>Cash Generated from Operations</t>
  </si>
  <si>
    <t>54,537</t>
  </si>
  <si>
    <t>Taxes Paid (Net)</t>
  </si>
  <si>
    <t>(12,191)</t>
  </si>
  <si>
    <t>Net Cash Flow from Operating Activities*</t>
  </si>
  <si>
    <t>42,346</t>
  </si>
  <si>
    <t>B.</t>
  </si>
  <si>
    <t>CASH FLOW FROM INVESTING ACTIVITIES</t>
  </si>
  <si>
    <t>Purchase of Property, Plant and Equipment and Other Intangible Assets</t>
  </si>
  <si>
    <t>(93,626)</t>
  </si>
  <si>
    <t>Proceeds from disposal of Property, Plant and Equipment and Intangible Assets</t>
  </si>
  <si>
    <t>849</t>
  </si>
  <si>
    <t>Purchase of Other Investments</t>
  </si>
  <si>
    <t>(11,05,479)</t>
  </si>
  <si>
    <t>Proceeds from Sale of Financial Assets (including Advance Received)</t>
  </si>
  <si>
    <t>11,03,615</t>
  </si>
  <si>
    <t>Upfront Fibre Payment</t>
  </si>
  <si>
    <t>Net Cash Flow for Other Financial Assets</t>
  </si>
  <si>
    <t>(1,960)</t>
  </si>
  <si>
    <t>972</t>
  </si>
  <si>
    <t>Dividend Income from Associates</t>
  </si>
  <si>
    <t>Dividend Income from Others</t>
  </si>
  <si>
    <t>498</t>
  </si>
  <si>
    <t>Net Cash Flow used in Investing Activities</t>
  </si>
  <si>
    <t>(95,128)</t>
  </si>
  <si>
    <t>C.</t>
  </si>
  <si>
    <t>CASH FLOW FROM FINANCING ACTIVITIES</t>
  </si>
  <si>
    <t>Proceeds from Issue of Equity Share Capital</t>
  </si>
  <si>
    <t>117</t>
  </si>
  <si>
    <t>Proceeds from Issue of Share Capital to Non-Controlling Interest / Compulsory Convertible Debentures</t>
  </si>
  <si>
    <t>113</t>
  </si>
  <si>
    <t>Net Proceeds from Right Issue</t>
  </si>
  <si>
    <t>Share Application Money</t>
  </si>
  <si>
    <t>Payment of Lease Liabilities</t>
  </si>
  <si>
    <t>Proceeds from Borrowings – Non-Current</t>
  </si>
  <si>
    <t>80,299</t>
  </si>
  <si>
    <t>Repayment of Borrowings – Non-Current</t>
  </si>
  <si>
    <t>(20,245)</t>
  </si>
  <si>
    <t>Borrowings – Current (Net)</t>
  </si>
  <si>
    <t>26,402</t>
  </si>
  <si>
    <t>(870)</t>
  </si>
  <si>
    <t>Movement in Deposits</t>
  </si>
  <si>
    <t>(2,292)</t>
  </si>
  <si>
    <t>Dividends Paid (including Dividend Distribution Tax)</t>
  </si>
  <si>
    <t>(4,282)</t>
  </si>
  <si>
    <t>Interest Paid</t>
  </si>
  <si>
    <t>(23,338)</t>
  </si>
  <si>
    <t>Net Cash Flow (used in) / from Financing Activities</t>
  </si>
  <si>
    <t>55,906</t>
  </si>
  <si>
    <t>Net Increase in Cash and Cash Equivalents</t>
  </si>
  <si>
    <t>3,124</t>
  </si>
  <si>
    <t>Opening Balance of Cash and Cash Equivalents</t>
  </si>
  <si>
    <t>7,336</t>
  </si>
  <si>
    <t>Add: Upon addition of Subsidiaries</t>
  </si>
  <si>
    <t>621</t>
  </si>
  <si>
    <t>Closing Balance of Cash and Cash Equivalents (Refer Note 9)</t>
  </si>
  <si>
    <t>11,081</t>
  </si>
  <si>
    <t>(` in crore)</t>
  </si>
  <si>
    <t>Balance
as at
1st April,
2020</t>
  </si>
  <si>
    <t>Total
Comprehensive
Income for the
Year</t>
  </si>
  <si>
    <t>Transfer
(to)/from
Retained
Earnings</t>
  </si>
  <si>
    <t>Transfer
(to)/from
General
Reserve</t>
  </si>
  <si>
    <t>On Rights
Issue*</t>
  </si>
  <si>
    <t>On Employee
Stock
Options</t>
  </si>
  <si>
    <t>Balance as at
31st March,
2021</t>
  </si>
  <si>
    <t>As at 31^{st} March, 2021</t>
  </si>
  <si>
    <t>Pending Allotment</t>
  </si>
  <si>
    <t>Special Economic Zone</t>
  </si>
  <si>
    <t>Reinvestment Reserve</t>
  </si>
  <si>
    <t>#</t>
  </si>
  <si>
    <t>Tax on
Dividend</t>
  </si>
  <si>
    <t>On
Employee
Stock
Options</t>
  </si>
  <si>
    <t>On Rights Issue *</t>
  </si>
  <si>
    <r>
      <rPr>
        <sz val="11"/>
        <color rgb="FF414042"/>
        <rFont val="Calibri"/>
        <family val="2"/>
      </rPr>
      <t>Others</t>
    </r>
  </si>
  <si>
    <t>As at 31-03-2022</t>
  </si>
  <si>
    <t>Column1</t>
  </si>
  <si>
    <r>
      <rPr>
        <b/>
        <sz val="8.5"/>
        <color rgb="FF0095D5"/>
        <rFont val="Gill Sans MT"/>
        <family val="2"/>
      </rPr>
      <t>23    REVENUE FROM OPERATIONS</t>
    </r>
  </si>
  <si>
    <r>
      <rPr>
        <b/>
        <sz val="8"/>
        <color rgb="FF231F20"/>
        <rFont val="Gill Sans MT"/>
        <family val="2"/>
      </rPr>
      <t>DISAGGREGATED REVENUE</t>
    </r>
  </si>
  <si>
    <r>
      <rPr>
        <b/>
        <sz val="7.5"/>
        <color rgb="FF414042"/>
        <rFont val="Gill Sans MT"/>
        <family val="2"/>
      </rPr>
      <t>2018-19</t>
    </r>
  </si>
  <si>
    <r>
      <rPr>
        <b/>
        <sz val="7.5"/>
        <color rgb="FF414042"/>
        <rFont val="Gill Sans MT"/>
        <family val="2"/>
      </rPr>
      <t>2019-20</t>
    </r>
  </si>
  <si>
    <r>
      <rPr>
        <b/>
        <u/>
        <sz val="8.5"/>
        <color rgb="FF0095D5"/>
        <rFont val="Gill Sans MT"/>
        <family val="2"/>
      </rPr>
      <t xml:space="preserve"> 24    OTHER INCOME                                                                              
</t>
    </r>
    <r>
      <rPr>
        <b/>
        <sz val="8"/>
        <color rgb="FF231F20"/>
        <rFont val="Gill Sans MT"/>
        <family val="2"/>
      </rPr>
      <t>INTEREST</t>
    </r>
  </si>
  <si>
    <t> Bank Deposits                                                                                                   </t>
  </si>
  <si>
    <t>  Debt instruments                                                                                               </t>
  </si>
  <si>
    <t> Other Financial Assets measured at Amortised Cost                                    </t>
  </si>
  <si>
    <r>
      <rPr>
        <sz val="12"/>
        <color rgb="FF414042"/>
        <rFont val="Calibri"/>
        <family val="2"/>
      </rPr>
      <t>Others</t>
    </r>
  </si>
  <si>
    <r>
      <rPr>
        <b/>
        <sz val="12"/>
        <color rgb="FF231F20"/>
        <rFont val="Gill Sans MT"/>
        <family val="2"/>
      </rPr>
      <t>DIVIDEND INCOME</t>
    </r>
  </si>
  <si>
    <r>
      <rPr>
        <b/>
        <sz val="12"/>
        <color rgb="FF231F20"/>
        <rFont val="Gill Sans MT"/>
        <family val="2"/>
      </rPr>
      <t>OTHER NON-OPERATING INCOME</t>
    </r>
  </si>
  <si>
    <r>
      <rPr>
        <b/>
        <sz val="12"/>
        <color rgb="FF231F20"/>
        <rFont val="Gill Sans MT"/>
        <family val="2"/>
      </rPr>
      <t>GAIN ON FINANCIAL ASSETS</t>
    </r>
  </si>
  <si>
    <r>
      <rPr>
        <sz val="12"/>
        <color rgb="FF414042"/>
        <rFont val="Calibri"/>
        <family val="2"/>
      </rPr>
      <t>                Realised Gain                                                                                                    </t>
    </r>
  </si>
  <si>
    <r>
      <rPr>
        <sz val="12"/>
        <color rgb="FF414042"/>
        <rFont val="Calibri"/>
        <family val="2"/>
      </rPr>
      <t>                Unrealised Gain / (Loss)                                                                                    </t>
    </r>
  </si>
  <si>
    <r>
      <rPr>
        <b/>
        <sz val="12"/>
        <color rgb="FF231F20"/>
        <rFont val="Gill Sans MT"/>
        <family val="2"/>
      </rPr>
      <t>PROFIT / (LOSS) ON DIVESTMENT</t>
    </r>
  </si>
  <si>
    <r>
      <rPr>
        <b/>
        <sz val="12"/>
        <color rgb="FF414042"/>
        <rFont val="Gill Sans MT"/>
        <family val="2"/>
      </rPr>
      <t>Total</t>
    </r>
  </si>
  <si>
    <r>
      <rPr>
        <sz val="11"/>
        <color rgb="FF231F20"/>
        <rFont val="Lucida Sans"/>
        <family val="2"/>
      </rPr>
      <t>Oil to Chemicals</t>
    </r>
  </si>
  <si>
    <r>
      <rPr>
        <sz val="11"/>
        <color rgb="FF414042"/>
        <rFont val="Calibri"/>
        <family val="2"/>
      </rPr>
      <t>Oil and Gas</t>
    </r>
  </si>
  <si>
    <r>
      <rPr>
        <sz val="11"/>
        <color rgb="FF414042"/>
        <rFont val="Calibri"/>
        <family val="2"/>
      </rPr>
      <t>Organised Retail</t>
    </r>
  </si>
  <si>
    <r>
      <rPr>
        <sz val="11"/>
        <color rgb="FF414042"/>
        <rFont val="Calibri"/>
        <family val="2"/>
      </rPr>
      <t>Digital Services</t>
    </r>
  </si>
  <si>
    <r>
      <rPr>
        <sz val="11"/>
        <color rgb="FF414042"/>
        <rFont val="Calibri"/>
        <family val="2"/>
      </rPr>
      <t>Financial Services</t>
    </r>
  </si>
  <si>
    <r>
      <rPr>
        <b/>
        <sz val="11"/>
        <color rgb="FF414042"/>
        <rFont val="Gill Sans MT"/>
        <family val="2"/>
      </rPr>
      <t>Total*</t>
    </r>
  </si>
  <si>
    <t>Gas</t>
  </si>
  <si>
    <t>Services</t>
  </si>
  <si>
    <t>Unallocable</t>
  </si>
  <si>
    <t>Segment Result before</t>
  </si>
  <si>
    <t>Interest and Taxes **</t>
  </si>
  <si>
    <t>^</t>
  </si>
  <si>
    <t>Finance Cost</t>
  </si>
  <si>
    <t>(Refer Note 31)</t>
  </si>
  <si>
    <t>Non-Controlling</t>
  </si>
  <si>
    <t>Interest)</t>
  </si>
  <si>
    <t>Share of (Profit)</t>
  </si>
  <si>
    <t>/ Loss transferred to</t>
  </si>
  <si>
    <t>Profit after Tax (after adjustment for</t>
  </si>
  <si>
    <t>Segment Assets</t>
  </si>
  <si>
    <t>Segment Liabilities</t>
  </si>
  <si>
    <t>Depreciation / Amortisation and</t>
  </si>
  <si>
    <t>Depletion Expense</t>
  </si>
  <si>
    <t>Services2</t>
  </si>
  <si>
    <t>O2C3</t>
  </si>
  <si>
    <t>Gas4</t>
  </si>
  <si>
    <t>Retail5</t>
  </si>
  <si>
    <t>Services6</t>
  </si>
  <si>
    <t>Services7</t>
  </si>
  <si>
    <t>Others8</t>
  </si>
  <si>
    <t>Unallocable9</t>
  </si>
  <si>
    <t>Total10</t>
  </si>
  <si>
    <t>Balance
as at
1st April,
20202</t>
  </si>
  <si>
    <t>Total
Comprehensive
Income for the
Year3</t>
  </si>
  <si>
    <t>Column4</t>
  </si>
  <si>
    <t>Transfer
(to)/from
Retained
Earnings5</t>
  </si>
  <si>
    <t>Column6</t>
  </si>
  <si>
    <t>Dividend7</t>
  </si>
  <si>
    <t>particulars</t>
  </si>
  <si>
    <r>
      <rPr>
        <b/>
        <sz val="12"/>
        <color theme="0"/>
        <rFont val="Tahoma"/>
        <family val="2"/>
      </rPr>
      <t>Balance
as at 1st April,
2021</t>
    </r>
  </si>
  <si>
    <r>
      <rPr>
        <b/>
        <sz val="12"/>
        <color theme="0"/>
        <rFont val="Tahoma"/>
        <family val="2"/>
      </rPr>
      <t>Total Comprehensive Income for the
Year</t>
    </r>
  </si>
  <si>
    <r>
      <rPr>
        <b/>
        <sz val="12"/>
        <color theme="0"/>
        <rFont val="Tahoma"/>
        <family val="2"/>
      </rPr>
      <t>On Employee
Stock Options</t>
    </r>
  </si>
  <si>
    <t>opening balance</t>
  </si>
  <si>
    <t>add income of year</t>
  </si>
  <si>
    <t>less dividend</t>
  </si>
  <si>
    <t>other retained earning</t>
  </si>
  <si>
    <t>closing bal</t>
  </si>
  <si>
    <t>adjustments</t>
  </si>
  <si>
    <t>right issue</t>
  </si>
  <si>
    <t>summary</t>
  </si>
  <si>
    <t>Plant property and equipment</t>
  </si>
  <si>
    <t>opening bal</t>
  </si>
  <si>
    <t>additions</t>
  </si>
  <si>
    <t>deductions</t>
  </si>
  <si>
    <t>gross</t>
  </si>
  <si>
    <t>net block</t>
  </si>
  <si>
    <t>opening</t>
  </si>
  <si>
    <t>closing</t>
  </si>
  <si>
    <t>workings</t>
  </si>
  <si>
    <t>depreciation rate</t>
  </si>
  <si>
    <t>right to use asset</t>
  </si>
  <si>
    <t>intangible asset</t>
  </si>
  <si>
    <t>opening bal2</t>
  </si>
  <si>
    <t>additions3</t>
  </si>
  <si>
    <t>deductions4</t>
  </si>
  <si>
    <t>closing bal5</t>
  </si>
  <si>
    <t>DEPRICIATION</t>
  </si>
  <si>
    <t>OPENING BAL</t>
  </si>
  <si>
    <t>ADDITION</t>
  </si>
  <si>
    <t>DELETION</t>
  </si>
  <si>
    <t>CLOSINGBAL</t>
  </si>
  <si>
    <t>OPENING DEP</t>
  </si>
  <si>
    <t>ADD DEP</t>
  </si>
  <si>
    <t>REDUCTIONS</t>
  </si>
  <si>
    <t>CLOSING DEO</t>
  </si>
  <si>
    <t>CLOSING BAL</t>
  </si>
  <si>
    <t>PPE</t>
  </si>
  <si>
    <t>RIGHT TO USE ASSET</t>
  </si>
  <si>
    <t>IBTANGIBLE ASSSET</t>
  </si>
  <si>
    <t>OPENING BAL2</t>
  </si>
  <si>
    <t>PARTICULARS</t>
  </si>
  <si>
    <t>TOTAL %</t>
  </si>
  <si>
    <t>CURRENT SUMMARY</t>
  </si>
  <si>
    <t>PLANT PROPERTY &amp; EQUIPMENT</t>
  </si>
  <si>
    <t>FIXED ASSET %</t>
  </si>
  <si>
    <t>DEPRECIATRON RATE</t>
  </si>
  <si>
    <t>INTANGIBLE ASSET</t>
  </si>
  <si>
    <t>RIGHT TOUSE ASSET</t>
  </si>
  <si>
    <t>SHEET SUMMARY</t>
  </si>
  <si>
    <t>NOTES TO ACCOUNTS</t>
  </si>
  <si>
    <t>SUMMARY OF YEAR</t>
  </si>
  <si>
    <t>TREND</t>
  </si>
  <si>
    <t>ESTIMATION</t>
  </si>
  <si>
    <t>Notes to accounts</t>
  </si>
  <si>
    <t>estimation</t>
  </si>
  <si>
    <t>Revenue</t>
  </si>
  <si>
    <t>OIL to Chemicals</t>
  </si>
  <si>
    <t>growth rate</t>
  </si>
  <si>
    <t>top to down growth rate approch</t>
  </si>
  <si>
    <t xml:space="preserve">GDP FROWTH RATE </t>
  </si>
  <si>
    <t xml:space="preserve">Prices of Crude oil and gas has been significantly </t>
  </si>
  <si>
    <t>sanction on russia has increased petrol prices</t>
  </si>
  <si>
    <t>after covid 19 oil and gas demad has been increased to normal</t>
  </si>
  <si>
    <t>hence no rise has been attributed to normalcy of demand</t>
  </si>
  <si>
    <t>due to saudi arabia and usa conflict OPEC has restricted supply</t>
  </si>
  <si>
    <t>it acts as an inflation in oil sector</t>
  </si>
  <si>
    <t>annual increase in 2022-23</t>
  </si>
  <si>
    <t>rate of growth</t>
  </si>
  <si>
    <t>increase thereafter as russia sanction not to be lifted &amp; increase thereafter</t>
  </si>
  <si>
    <t>2022-23E</t>
  </si>
  <si>
    <t>2023-24E</t>
  </si>
  <si>
    <t>2024-25E</t>
  </si>
  <si>
    <t>2025-26E</t>
  </si>
  <si>
    <t>2026-27E</t>
  </si>
  <si>
    <t>GROWTH RATE</t>
  </si>
  <si>
    <t>SALES EXPECTED</t>
  </si>
  <si>
    <t>OIL &amp; gas</t>
  </si>
  <si>
    <t>Growth</t>
  </si>
  <si>
    <t>particulars2</t>
  </si>
  <si>
    <t>Column2</t>
  </si>
  <si>
    <t>Column3</t>
  </si>
  <si>
    <t>Column5</t>
  </si>
  <si>
    <t>2021-022</t>
  </si>
  <si>
    <t>same assumed as inoil except international</t>
  </si>
  <si>
    <t>ORGANISATION RETAIL</t>
  </si>
  <si>
    <t>presumed to be sales grow at current rate</t>
  </si>
  <si>
    <t>reliance has aquired many  brands to be sold by it</t>
  </si>
  <si>
    <t>It includes international brand and campa cola</t>
  </si>
  <si>
    <t>sales increasing in covid 19</t>
  </si>
  <si>
    <t>at very good rate more than 24%</t>
  </si>
  <si>
    <t>inflation impact reduces sales in retail sector</t>
  </si>
  <si>
    <t>Financial services</t>
  </si>
  <si>
    <t>others</t>
  </si>
  <si>
    <t>growth rate assumed</t>
  </si>
  <si>
    <t>financial services</t>
  </si>
  <si>
    <t>financial services has seen a drastic fall</t>
  </si>
  <si>
    <t xml:space="preserve">so it is near pre covid </t>
  </si>
  <si>
    <t>Digital Services</t>
  </si>
  <si>
    <t>Expected revenue</t>
  </si>
  <si>
    <t>Revenue sheet index</t>
  </si>
  <si>
    <t>notes to accounts</t>
  </si>
  <si>
    <t>segment wise estimation</t>
  </si>
  <si>
    <t>expected revenue</t>
  </si>
  <si>
    <t>other income</t>
  </si>
  <si>
    <t>other income is based bon co plans on investment</t>
  </si>
  <si>
    <t>PLANT property and equipment</t>
  </si>
  <si>
    <t>(GROSS)</t>
  </si>
  <si>
    <t xml:space="preserve">TURNOVER </t>
  </si>
  <si>
    <t>Fixed turnover ratio</t>
  </si>
  <si>
    <t>2019</t>
  </si>
  <si>
    <t>2020</t>
  </si>
  <si>
    <t>2021</t>
  </si>
  <si>
    <t>2022</t>
  </si>
  <si>
    <t>depriciation</t>
  </si>
  <si>
    <t>Assumption company would generate more sales on per rupee fixed assets</t>
  </si>
  <si>
    <t>Analysis</t>
  </si>
  <si>
    <t>segment revenue</t>
  </si>
  <si>
    <t>segment profit</t>
  </si>
  <si>
    <t>segment profit are before interest expenses and interest income</t>
  </si>
  <si>
    <t>oil and gas</t>
  </si>
  <si>
    <t>retail</t>
  </si>
  <si>
    <t>digital</t>
  </si>
  <si>
    <t xml:space="preserve">financial </t>
  </si>
  <si>
    <t>other</t>
  </si>
  <si>
    <t>unallocated</t>
  </si>
  <si>
    <t>total</t>
  </si>
  <si>
    <t>profit %</t>
  </si>
  <si>
    <t>expenses</t>
  </si>
  <si>
    <t>PROFIT/LOSS</t>
  </si>
  <si>
    <t>oyher income</t>
  </si>
  <si>
    <t>drpriciation %</t>
  </si>
  <si>
    <t>aquire</t>
  </si>
  <si>
    <t>total exp without other</t>
  </si>
  <si>
    <t>spendable part</t>
  </si>
  <si>
    <t>other expenses</t>
  </si>
  <si>
    <t>debt</t>
  </si>
  <si>
    <t>non current</t>
  </si>
  <si>
    <t>interest exp</t>
  </si>
  <si>
    <t>assumed interest</t>
  </si>
  <si>
    <t>capital employes</t>
  </si>
  <si>
    <t>equity</t>
  </si>
  <si>
    <t>debt/equity</t>
  </si>
  <si>
    <t>assumed debt equity</t>
  </si>
  <si>
    <t>capital required</t>
  </si>
  <si>
    <t>fixed ASSET</t>
  </si>
  <si>
    <t>INVESTMENTS</t>
  </si>
  <si>
    <t>OTHER</t>
  </si>
  <si>
    <t>CAPITAL REQIRED</t>
  </si>
  <si>
    <t>assumed debt</t>
  </si>
  <si>
    <t>Debt additional</t>
  </si>
  <si>
    <t>equity financed</t>
  </si>
  <si>
    <t>add debt</t>
  </si>
  <si>
    <t>interest</t>
  </si>
  <si>
    <t>tax rate</t>
  </si>
  <si>
    <t>assumed tax rate</t>
  </si>
  <si>
    <t>working capital</t>
  </si>
  <si>
    <t>COGS</t>
  </si>
  <si>
    <t>INVENTORY</t>
  </si>
  <si>
    <t>INVENTORY DAYS</t>
  </si>
  <si>
    <t>AVERAGE</t>
  </si>
  <si>
    <t>NCI</t>
  </si>
  <si>
    <t>TRADE PAYABLE</t>
  </si>
  <si>
    <t>PAYABLE DAYS</t>
  </si>
  <si>
    <t>TRADE RECIEVABLES</t>
  </si>
  <si>
    <t>RECIEVABLE DAYS</t>
  </si>
  <si>
    <t>dividend</t>
  </si>
  <si>
    <t>balancing fig is adjusted in capital workin progress other non current assset</t>
  </si>
  <si>
    <t>As at 31st March, 2023</t>
  </si>
  <si>
    <t>As at 31st March, 2024</t>
  </si>
  <si>
    <t>As at 31st March, 2025</t>
  </si>
  <si>
    <t>As at 31st March, 2026</t>
  </si>
  <si>
    <t>As at 31st March, 2027</t>
  </si>
  <si>
    <t>2022-23E2</t>
  </si>
  <si>
    <t>2022-23E3</t>
  </si>
  <si>
    <t>2022-23E4</t>
  </si>
  <si>
    <t>2022-23E5</t>
  </si>
  <si>
    <t>289692</t>
  </si>
  <si>
    <t>291652</t>
  </si>
  <si>
    <t>244212</t>
  </si>
  <si>
    <t>302019</t>
  </si>
  <si>
    <t>investment</t>
  </si>
  <si>
    <t>increase in price of investment</t>
  </si>
  <si>
    <t>investment value</t>
  </si>
  <si>
    <t>2022-23E6</t>
  </si>
  <si>
    <t>2022-23E7</t>
  </si>
  <si>
    <t>2022-23E8</t>
  </si>
  <si>
    <t>2022-23E9</t>
  </si>
  <si>
    <t>Column7</t>
  </si>
  <si>
    <t>2022-23e</t>
  </si>
  <si>
    <t>2023-24</t>
  </si>
  <si>
    <t>2024-25</t>
  </si>
  <si>
    <t>2025-26</t>
  </si>
  <si>
    <t>2026-27</t>
  </si>
  <si>
    <r>
      <rPr>
        <b/>
        <sz val="8.5"/>
        <color rgb="FF0095D5"/>
        <rFont val="Calibri"/>
        <family val="2"/>
        <scheme val="minor"/>
      </rPr>
      <t>1.     PROPERTY, PLANT AND EQUIPMENT, OTHER INTANGIBLE ASSETS, CAPITAL WORK-IN-PROGRESS AND INTANGIBLE ASSETS UNDER DEVELOPMENT</t>
    </r>
  </si>
  <si>
    <r>
      <rPr>
        <b/>
        <sz val="11"/>
        <color rgb="FF414042"/>
        <rFont val="Calibri"/>
        <family val="2"/>
        <scheme val="minor"/>
      </rPr>
      <t>Description</t>
    </r>
  </si>
  <si>
    <r>
      <rPr>
        <b/>
        <sz val="11"/>
        <color rgb="FF414042"/>
        <rFont val="Calibri"/>
        <family val="2"/>
        <scheme val="minor"/>
      </rPr>
      <t>Gross Block</t>
    </r>
  </si>
  <si>
    <r>
      <rPr>
        <b/>
        <sz val="11"/>
        <color rgb="FF414042"/>
        <rFont val="Calibri"/>
        <family val="2"/>
        <scheme val="minor"/>
      </rPr>
      <t>Depreciation/Amortisation and Depletion</t>
    </r>
  </si>
  <si>
    <r>
      <rPr>
        <b/>
        <sz val="11"/>
        <color rgb="FF414042"/>
        <rFont val="Calibri"/>
        <family val="2"/>
        <scheme val="minor"/>
      </rPr>
      <t>Net Block</t>
    </r>
  </si>
  <si>
    <r>
      <rPr>
        <sz val="11"/>
        <color rgb="FF414042"/>
        <rFont val="Calibri"/>
        <family val="2"/>
        <scheme val="minor"/>
      </rPr>
      <t>Gross Block</t>
    </r>
  </si>
  <si>
    <r>
      <rPr>
        <sz val="11"/>
        <color rgb="FF414042"/>
        <rFont val="Calibri"/>
        <family val="2"/>
        <scheme val="minor"/>
      </rPr>
      <t>Depreciation/Amortisation and Depletion</t>
    </r>
  </si>
  <si>
    <r>
      <rPr>
        <sz val="11"/>
        <color rgb="FF414042"/>
        <rFont val="Calibri"/>
        <family val="2"/>
        <scheme val="minor"/>
      </rPr>
      <t>Net Block</t>
    </r>
  </si>
  <si>
    <r>
      <rPr>
        <sz val="11"/>
        <rFont val="Calibri"/>
        <family val="2"/>
        <scheme val="minor"/>
      </rPr>
      <t>Description</t>
    </r>
  </si>
  <si>
    <r>
      <rPr>
        <sz val="11"/>
        <rFont val="Calibri"/>
        <family val="2"/>
        <scheme val="minor"/>
      </rPr>
      <t>Gross Block                                        Depreciation / Amortisation and Depletion                 Net Block</t>
    </r>
  </si>
  <si>
    <r>
      <rPr>
        <b/>
        <sz val="11"/>
        <color rgb="FF414042"/>
        <rFont val="Calibri"/>
        <family val="2"/>
        <scheme val="minor"/>
      </rPr>
      <t>As at 01-04-2019</t>
    </r>
  </si>
  <si>
    <r>
      <rPr>
        <b/>
        <sz val="11"/>
        <color rgb="FF414042"/>
        <rFont val="Calibri"/>
        <family val="2"/>
        <scheme val="minor"/>
      </rPr>
      <t>Additions/ Adjustments^</t>
    </r>
  </si>
  <si>
    <r>
      <rPr>
        <b/>
        <sz val="11"/>
        <color rgb="FF414042"/>
        <rFont val="Calibri"/>
        <family val="2"/>
        <scheme val="minor"/>
      </rPr>
      <t>Deductions/ Adjustments</t>
    </r>
  </si>
  <si>
    <r>
      <rPr>
        <b/>
        <sz val="11"/>
        <color rgb="FF414042"/>
        <rFont val="Calibri"/>
        <family val="2"/>
        <scheme val="minor"/>
      </rPr>
      <t>As at 31-03-2020</t>
    </r>
  </si>
  <si>
    <r>
      <rPr>
        <b/>
        <sz val="11"/>
        <color rgb="FF414042"/>
        <rFont val="Calibri"/>
        <family val="2"/>
        <scheme val="minor"/>
      </rPr>
      <t xml:space="preserve">For the Year </t>
    </r>
    <r>
      <rPr>
        <vertAlign val="superscript"/>
        <sz val="11"/>
        <color rgb="FF414042"/>
        <rFont val="Calibri"/>
        <family val="2"/>
        <scheme val="minor"/>
      </rPr>
      <t>#</t>
    </r>
  </si>
  <si>
    <r>
      <rPr>
        <b/>
        <sz val="11"/>
        <color rgb="FF414042"/>
        <rFont val="Calibri"/>
        <family val="2"/>
        <scheme val="minor"/>
      </rPr>
      <t>As at 31-03-2019</t>
    </r>
  </si>
  <si>
    <r>
      <rPr>
        <sz val="11"/>
        <color rgb="FF414042"/>
        <rFont val="Calibri"/>
        <family val="2"/>
        <scheme val="minor"/>
      </rPr>
      <t>Description</t>
    </r>
  </si>
  <si>
    <r>
      <rPr>
        <sz val="11"/>
        <color rgb="FF414042"/>
        <rFont val="Calibri"/>
        <family val="2"/>
        <scheme val="minor"/>
      </rPr>
      <t>As at      Additions/</t>
    </r>
  </si>
  <si>
    <r>
      <rPr>
        <sz val="11"/>
        <color rgb="FF414042"/>
        <rFont val="Calibri"/>
        <family val="2"/>
        <scheme val="minor"/>
      </rPr>
      <t>Deductions/</t>
    </r>
  </si>
  <si>
    <r>
      <rPr>
        <sz val="11"/>
        <color rgb="FF414042"/>
        <rFont val="Calibri"/>
        <family val="2"/>
        <scheme val="minor"/>
      </rPr>
      <t>As at</t>
    </r>
  </si>
  <si>
    <r>
      <rPr>
        <sz val="11"/>
        <color rgb="FF414042"/>
        <rFont val="Calibri"/>
        <family val="2"/>
        <scheme val="minor"/>
      </rPr>
      <t>For the</t>
    </r>
  </si>
  <si>
    <r>
      <rPr>
        <sz val="11"/>
        <rFont val="Calibri"/>
        <family val="2"/>
        <scheme val="minor"/>
      </rPr>
      <t>As at 01-04-2021</t>
    </r>
  </si>
  <si>
    <r>
      <rPr>
        <sz val="11"/>
        <rFont val="Calibri"/>
        <family val="2"/>
        <scheme val="minor"/>
      </rPr>
      <t>Additions / Adjustments ^</t>
    </r>
  </si>
  <si>
    <r>
      <rPr>
        <sz val="11"/>
        <rFont val="Calibri"/>
        <family val="2"/>
        <scheme val="minor"/>
      </rPr>
      <t>Deductions / Adjustments</t>
    </r>
  </si>
  <si>
    <r>
      <rPr>
        <sz val="11"/>
        <rFont val="Calibri"/>
        <family val="2"/>
        <scheme val="minor"/>
      </rPr>
      <t xml:space="preserve">For the Year </t>
    </r>
    <r>
      <rPr>
        <vertAlign val="superscript"/>
        <sz val="11"/>
        <rFont val="Calibri"/>
        <family val="2"/>
        <scheme val="minor"/>
      </rPr>
      <t>#</t>
    </r>
  </si>
  <si>
    <r>
      <rPr>
        <sz val="11"/>
        <rFont val="Calibri"/>
        <family val="2"/>
        <scheme val="minor"/>
      </rPr>
      <t>As at 31-03-2021</t>
    </r>
  </si>
  <si>
    <r>
      <rPr>
        <b/>
        <sz val="11"/>
        <color rgb="FF231F20"/>
        <rFont val="Calibri"/>
        <family val="2"/>
        <scheme val="minor"/>
      </rPr>
      <t>PROPERTY, PLANT AND EQUIPMENT</t>
    </r>
  </si>
  <si>
    <r>
      <rPr>
        <sz val="11"/>
        <color rgb="FF414042"/>
        <rFont val="Calibri"/>
        <family val="2"/>
        <scheme val="minor"/>
      </rPr>
      <t>01-04-2020   Adjustments^</t>
    </r>
  </si>
  <si>
    <r>
      <rPr>
        <sz val="11"/>
        <color rgb="FF414042"/>
        <rFont val="Calibri"/>
        <family val="2"/>
        <scheme val="minor"/>
      </rPr>
      <t>Adjustments</t>
    </r>
  </si>
  <si>
    <r>
      <rPr>
        <sz val="11"/>
        <color rgb="FF414042"/>
        <rFont val="Calibri"/>
        <family val="2"/>
        <scheme val="minor"/>
      </rPr>
      <t>Year #</t>
    </r>
  </si>
  <si>
    <r>
      <rPr>
        <sz val="11"/>
        <color rgb="FF414042"/>
        <rFont val="Calibri"/>
        <family val="2"/>
        <scheme val="minor"/>
      </rPr>
      <t>Adjustments</t>
    </r>
    <r>
      <rPr>
        <vertAlign val="superscript"/>
        <sz val="11"/>
        <color rgb="FF414042"/>
        <rFont val="Calibri"/>
        <family val="2"/>
        <scheme val="minor"/>
      </rPr>
      <t>@</t>
    </r>
  </si>
  <si>
    <r>
      <rPr>
        <b/>
        <sz val="11"/>
        <color rgb="FF2B82B0"/>
        <rFont val="Calibri"/>
        <family val="2"/>
        <scheme val="minor"/>
      </rPr>
      <t>Property, Plant and Equipment</t>
    </r>
  </si>
  <si>
    <r>
      <rPr>
        <b/>
        <sz val="11"/>
        <color rgb="FF0095D5"/>
        <rFont val="Calibri"/>
        <family val="2"/>
        <scheme val="minor"/>
      </rPr>
      <t>Own Assets:</t>
    </r>
  </si>
  <si>
    <r>
      <rPr>
        <sz val="11"/>
        <color rgb="FF00BDF2"/>
        <rFont val="Calibri"/>
        <family val="2"/>
        <scheme val="minor"/>
      </rPr>
      <t xml:space="preserve">Property,
Plant And Equipment </t>
    </r>
    <r>
      <rPr>
        <sz val="11"/>
        <color rgb="FF6D6E71"/>
        <rFont val="Calibri"/>
        <family val="2"/>
        <scheme val="minor"/>
      </rPr>
      <t>Own Assets:</t>
    </r>
  </si>
  <si>
    <r>
      <rPr>
        <b/>
        <sz val="11"/>
        <color rgb="FF00BDF2"/>
        <rFont val="Calibri"/>
        <family val="2"/>
        <scheme val="minor"/>
      </rPr>
      <t>Own Assets:</t>
    </r>
  </si>
  <si>
    <r>
      <rPr>
        <sz val="11"/>
        <color rgb="FF414042"/>
        <rFont val="Calibri"/>
        <family val="2"/>
        <scheme val="minor"/>
      </rPr>
      <t>Land</t>
    </r>
  </si>
  <si>
    <r>
      <rPr>
        <sz val="11"/>
        <color rgb="FF414042"/>
        <rFont val="Calibri"/>
        <family val="2"/>
        <scheme val="minor"/>
      </rPr>
      <t>-</t>
    </r>
  </si>
  <si>
    <r>
      <rPr>
        <sz val="11"/>
        <color rgb="FF231F20"/>
        <rFont val="Calibri"/>
        <family val="2"/>
        <scheme val="minor"/>
      </rPr>
      <t>Land</t>
    </r>
  </si>
  <si>
    <r>
      <rPr>
        <sz val="11"/>
        <color rgb="FF231F20"/>
        <rFont val="Calibri"/>
        <family val="2"/>
        <scheme val="minor"/>
      </rPr>
      <t>-</t>
    </r>
  </si>
  <si>
    <r>
      <rPr>
        <sz val="11"/>
        <rFont val="Calibri"/>
        <family val="2"/>
        <scheme val="minor"/>
      </rPr>
      <t>-</t>
    </r>
  </si>
  <si>
    <r>
      <rPr>
        <sz val="11"/>
        <color rgb="FF414042"/>
        <rFont val="Calibri"/>
        <family val="2"/>
        <scheme val="minor"/>
      </rPr>
      <t>Buildings</t>
    </r>
  </si>
  <si>
    <r>
      <rPr>
        <sz val="11"/>
        <color rgb="FF231F20"/>
        <rFont val="Calibri"/>
        <family val="2"/>
        <scheme val="minor"/>
      </rPr>
      <t>Buildings</t>
    </r>
  </si>
  <si>
    <r>
      <rPr>
        <sz val="11"/>
        <color rgb="FF414042"/>
        <rFont val="Calibri"/>
        <family val="2"/>
        <scheme val="minor"/>
      </rPr>
      <t>Plant and Machinery</t>
    </r>
  </si>
  <si>
    <r>
      <rPr>
        <sz val="11"/>
        <color rgb="FF231F20"/>
        <rFont val="Calibri"/>
        <family val="2"/>
        <scheme val="minor"/>
      </rPr>
      <t>Plant &amp; Machinery</t>
    </r>
  </si>
  <si>
    <r>
      <rPr>
        <sz val="11"/>
        <color rgb="FF414042"/>
        <rFont val="Calibri"/>
        <family val="2"/>
        <scheme val="minor"/>
      </rPr>
      <t>Electrical Installations</t>
    </r>
  </si>
  <si>
    <r>
      <rPr>
        <sz val="11"/>
        <color rgb="FF231F20"/>
        <rFont val="Calibri"/>
        <family val="2"/>
        <scheme val="minor"/>
      </rPr>
      <t>Electrical Installations</t>
    </r>
  </si>
  <si>
    <r>
      <rPr>
        <sz val="11"/>
        <color rgb="FF414042"/>
        <rFont val="Calibri"/>
        <family val="2"/>
        <scheme val="minor"/>
      </rPr>
      <t>Equipments</t>
    </r>
    <r>
      <rPr>
        <vertAlign val="superscript"/>
        <sz val="11"/>
        <color rgb="FF414042"/>
        <rFont val="Calibri"/>
        <family val="2"/>
        <scheme val="minor"/>
      </rPr>
      <t>$</t>
    </r>
  </si>
  <si>
    <r>
      <rPr>
        <sz val="11"/>
        <color rgb="FF231F20"/>
        <rFont val="Calibri"/>
        <family val="2"/>
        <scheme val="minor"/>
      </rPr>
      <t xml:space="preserve">Equipments </t>
    </r>
    <r>
      <rPr>
        <vertAlign val="superscript"/>
        <sz val="11"/>
        <color rgb="FF231F20"/>
        <rFont val="Calibri"/>
        <family val="2"/>
        <scheme val="minor"/>
      </rPr>
      <t>$</t>
    </r>
  </si>
  <si>
    <r>
      <rPr>
        <sz val="11"/>
        <rFont val="Calibri"/>
        <family val="2"/>
        <scheme val="minor"/>
      </rPr>
      <t xml:space="preserve">Equipments </t>
    </r>
    <r>
      <rPr>
        <vertAlign val="superscript"/>
        <sz val="11"/>
        <rFont val="Calibri"/>
        <family val="2"/>
        <scheme val="minor"/>
      </rPr>
      <t>$</t>
    </r>
  </si>
  <si>
    <r>
      <rPr>
        <sz val="11"/>
        <color rgb="FF414042"/>
        <rFont val="Calibri"/>
        <family val="2"/>
        <scheme val="minor"/>
      </rPr>
      <t>Furniture and Fixtures</t>
    </r>
  </si>
  <si>
    <r>
      <rPr>
        <sz val="11"/>
        <color rgb="FF231F20"/>
        <rFont val="Calibri"/>
        <family val="2"/>
        <scheme val="minor"/>
      </rPr>
      <t>Furniture &amp; Fixtures</t>
    </r>
  </si>
  <si>
    <r>
      <rPr>
        <sz val="11"/>
        <color rgb="FF414042"/>
        <rFont val="Calibri"/>
        <family val="2"/>
        <scheme val="minor"/>
      </rPr>
      <t>Vehicles</t>
    </r>
  </si>
  <si>
    <r>
      <rPr>
        <sz val="11"/>
        <color rgb="FF231F20"/>
        <rFont val="Calibri"/>
        <family val="2"/>
        <scheme val="minor"/>
      </rPr>
      <t>Vehicles</t>
    </r>
  </si>
  <si>
    <r>
      <rPr>
        <sz val="11"/>
        <color rgb="FF414042"/>
        <rFont val="Calibri"/>
        <family val="2"/>
        <scheme val="minor"/>
      </rPr>
      <t>Ships</t>
    </r>
  </si>
  <si>
    <r>
      <rPr>
        <sz val="11"/>
        <color rgb="FF231F20"/>
        <rFont val="Calibri"/>
        <family val="2"/>
        <scheme val="minor"/>
      </rPr>
      <t>Ships</t>
    </r>
  </si>
  <si>
    <r>
      <rPr>
        <sz val="11"/>
        <color rgb="FF414042"/>
        <rFont val="Calibri"/>
        <family val="2"/>
        <scheme val="minor"/>
      </rPr>
      <t>Aircrafts and Helicopters</t>
    </r>
  </si>
  <si>
    <r>
      <rPr>
        <sz val="11"/>
        <color rgb="FF231F20"/>
        <rFont val="Calibri"/>
        <family val="2"/>
        <scheme val="minor"/>
      </rPr>
      <t>Aircrafts and Helicopters</t>
    </r>
  </si>
  <si>
    <r>
      <rPr>
        <sz val="11"/>
        <rFont val="Calibri"/>
        <family val="2"/>
        <scheme val="minor"/>
      </rPr>
      <t>Aircrafts
and Helicopters</t>
    </r>
  </si>
  <si>
    <r>
      <rPr>
        <b/>
        <sz val="11"/>
        <color rgb="FF414042"/>
        <rFont val="Calibri"/>
        <family val="2"/>
        <scheme val="minor"/>
      </rPr>
      <t>Sub-Total</t>
    </r>
  </si>
  <si>
    <r>
      <rPr>
        <sz val="11"/>
        <color rgb="FF231F20"/>
        <rFont val="Calibri"/>
        <family val="2"/>
        <scheme val="minor"/>
      </rPr>
      <t>Sub-Total</t>
    </r>
  </si>
  <si>
    <r>
      <rPr>
        <b/>
        <sz val="11"/>
        <color rgb="FF0095D5"/>
        <rFont val="Calibri"/>
        <family val="2"/>
        <scheme val="minor"/>
      </rPr>
      <t>Right-of-Use Assets:</t>
    </r>
  </si>
  <si>
    <r>
      <rPr>
        <sz val="11"/>
        <color rgb="FF6D6E71"/>
        <rFont val="Calibri"/>
        <family val="2"/>
        <scheme val="minor"/>
      </rPr>
      <t>Right-of-Use Assets:</t>
    </r>
  </si>
  <si>
    <r>
      <rPr>
        <b/>
        <sz val="11"/>
        <color rgb="FF00BDF2"/>
        <rFont val="Calibri"/>
        <family val="2"/>
        <scheme val="minor"/>
      </rPr>
      <t>Right-of-Use Assets:</t>
    </r>
  </si>
  <si>
    <r>
      <rPr>
        <vertAlign val="subscript"/>
        <sz val="11"/>
        <rFont val="Calibri"/>
        <family val="2"/>
        <scheme val="minor"/>
      </rPr>
      <t xml:space="preserve">- </t>
    </r>
    <r>
      <rPr>
        <sz val="11"/>
        <rFont val="Calibri"/>
        <family val="2"/>
        <scheme val="minor"/>
      </rPr>
      <t>@</t>
    </r>
  </si>
  <si>
    <r>
      <rPr>
        <b/>
        <sz val="11"/>
        <color rgb="FF414042"/>
        <rFont val="Calibri"/>
        <family val="2"/>
        <scheme val="minor"/>
      </rPr>
      <t>Total (A)</t>
    </r>
  </si>
  <si>
    <r>
      <rPr>
        <sz val="11"/>
        <color rgb="FF231F20"/>
        <rFont val="Calibri"/>
        <family val="2"/>
        <scheme val="minor"/>
      </rPr>
      <t>Total (A)</t>
    </r>
  </si>
  <si>
    <r>
      <rPr>
        <b/>
        <sz val="11"/>
        <color rgb="FF231F20"/>
        <rFont val="Calibri"/>
        <family val="2"/>
        <scheme val="minor"/>
      </rPr>
      <t>OTHER INTANGIBLE ASSETS *</t>
    </r>
  </si>
  <si>
    <r>
      <rPr>
        <sz val="11"/>
        <color rgb="FF00BDF2"/>
        <rFont val="Calibri"/>
        <family val="2"/>
        <scheme val="minor"/>
      </rPr>
      <t>Other Intangible Assets *</t>
    </r>
  </si>
  <si>
    <r>
      <rPr>
        <b/>
        <sz val="11"/>
        <color rgb="FF2B82B0"/>
        <rFont val="Calibri"/>
        <family val="2"/>
        <scheme val="minor"/>
      </rPr>
      <t>Other
Intangible Assets *</t>
    </r>
  </si>
  <si>
    <r>
      <rPr>
        <sz val="11"/>
        <color rgb="FF414042"/>
        <rFont val="Calibri"/>
        <family val="2"/>
        <scheme val="minor"/>
      </rPr>
      <t>Technical Knowhow Fees</t>
    </r>
  </si>
  <si>
    <r>
      <rPr>
        <sz val="11"/>
        <color rgb="FF231F20"/>
        <rFont val="Calibri"/>
        <family val="2"/>
        <scheme val="minor"/>
      </rPr>
      <t>Technical Knowhow Fees</t>
    </r>
  </si>
  <si>
    <r>
      <rPr>
        <sz val="11"/>
        <color rgb="FF414042"/>
        <rFont val="Calibri"/>
        <family val="2"/>
        <scheme val="minor"/>
      </rPr>
      <t>Spectrum Cost</t>
    </r>
  </si>
  <si>
    <r>
      <rPr>
        <sz val="11"/>
        <color rgb="FF231F20"/>
        <rFont val="Calibri"/>
        <family val="2"/>
        <scheme val="minor"/>
      </rPr>
      <t>Spectrum Cost</t>
    </r>
  </si>
  <si>
    <r>
      <rPr>
        <sz val="11"/>
        <color rgb="FF414042"/>
        <rFont val="Calibri"/>
        <family val="2"/>
        <scheme val="minor"/>
      </rPr>
      <t>Software</t>
    </r>
  </si>
  <si>
    <r>
      <rPr>
        <sz val="11"/>
        <color rgb="FF231F20"/>
        <rFont val="Calibri"/>
        <family val="2"/>
        <scheme val="minor"/>
      </rPr>
      <t>Software</t>
    </r>
  </si>
  <si>
    <r>
      <rPr>
        <sz val="11"/>
        <color rgb="FF414042"/>
        <rFont val="Calibri"/>
        <family val="2"/>
        <scheme val="minor"/>
      </rPr>
      <t>Development Rights</t>
    </r>
  </si>
  <si>
    <r>
      <rPr>
        <sz val="11"/>
        <color rgb="FF231F20"/>
        <rFont val="Calibri"/>
        <family val="2"/>
        <scheme val="minor"/>
      </rPr>
      <t>Development Rights</t>
    </r>
  </si>
  <si>
    <r>
      <rPr>
        <sz val="11"/>
        <color rgb="FF414042"/>
        <rFont val="Calibri"/>
        <family val="2"/>
        <scheme val="minor"/>
      </rPr>
      <t>Others</t>
    </r>
  </si>
  <si>
    <r>
      <rPr>
        <sz val="11"/>
        <color rgb="FF231F20"/>
        <rFont val="Calibri"/>
        <family val="2"/>
        <scheme val="minor"/>
      </rPr>
      <t>Others</t>
    </r>
  </si>
  <si>
    <r>
      <rPr>
        <b/>
        <sz val="11"/>
        <color rgb="FF414042"/>
        <rFont val="Calibri"/>
        <family val="2"/>
        <scheme val="minor"/>
      </rPr>
      <t>Total (B)</t>
    </r>
  </si>
  <si>
    <r>
      <rPr>
        <sz val="11"/>
        <color rgb="FF231F20"/>
        <rFont val="Calibri"/>
        <family val="2"/>
        <scheme val="minor"/>
      </rPr>
      <t>Total (B)</t>
    </r>
  </si>
  <si>
    <r>
      <rPr>
        <b/>
        <sz val="11"/>
        <color rgb="FF414042"/>
        <rFont val="Calibri"/>
        <family val="2"/>
        <scheme val="minor"/>
      </rPr>
      <t>Total (A+B)</t>
    </r>
  </si>
  <si>
    <r>
      <rPr>
        <sz val="11"/>
        <color rgb="FF231F20"/>
        <rFont val="Calibri"/>
        <family val="2"/>
        <scheme val="minor"/>
      </rPr>
      <t>Total (A+B)</t>
    </r>
  </si>
  <si>
    <r>
      <rPr>
        <sz val="11"/>
        <color rgb="FF231F20"/>
        <rFont val="Calibri"/>
        <family val="2"/>
        <scheme val="minor"/>
      </rPr>
      <t>2,11,130</t>
    </r>
  </si>
  <si>
    <r>
      <rPr>
        <b/>
        <sz val="8"/>
        <color rgb="FF414042"/>
        <rFont val="Calibri"/>
        <family val="2"/>
        <scheme val="minor"/>
      </rPr>
      <t>Previous Year</t>
    </r>
  </si>
  <si>
    <r>
      <rPr>
        <b/>
        <sz val="8.5"/>
        <color rgb="FF414042"/>
        <rFont val="Calibri"/>
        <family val="2"/>
        <scheme val="minor"/>
      </rPr>
      <t>5,75,471</t>
    </r>
  </si>
  <si>
    <r>
      <rPr>
        <b/>
        <sz val="8.5"/>
        <color rgb="FF414042"/>
        <rFont val="Calibri"/>
        <family val="2"/>
        <scheme val="minor"/>
      </rPr>
      <t>5,84,525</t>
    </r>
  </si>
  <si>
    <r>
      <rPr>
        <b/>
        <sz val="8.5"/>
        <color rgb="FF414042"/>
        <rFont val="Calibri"/>
        <family val="2"/>
        <scheme val="minor"/>
      </rPr>
      <t>1,77,399</t>
    </r>
  </si>
  <si>
    <r>
      <rPr>
        <b/>
        <sz val="8.5"/>
        <color rgb="FF414042"/>
        <rFont val="Calibri"/>
        <family val="2"/>
        <scheme val="minor"/>
      </rPr>
      <t>1,98,148</t>
    </r>
  </si>
  <si>
    <r>
      <rPr>
        <b/>
        <sz val="8.5"/>
        <color rgb="FF414042"/>
        <rFont val="Calibri"/>
        <family val="2"/>
        <scheme val="minor"/>
      </rPr>
      <t>3,86,377</t>
    </r>
  </si>
  <si>
    <r>
      <rPr>
        <sz val="11"/>
        <color rgb="FF231F20"/>
        <rFont val="Calibri"/>
        <family val="2"/>
        <scheme val="minor"/>
      </rPr>
      <t>Previous Year</t>
    </r>
  </si>
  <si>
    <r>
      <rPr>
        <sz val="11"/>
        <color rgb="FF231F20"/>
        <rFont val="Calibri"/>
        <family val="2"/>
        <scheme val="minor"/>
      </rPr>
      <t>1,98,148</t>
    </r>
  </si>
  <si>
    <r>
      <rPr>
        <sz val="11"/>
        <rFont val="Calibri"/>
        <family val="2"/>
        <scheme val="minor"/>
      </rPr>
      <t>Capital
Work-in-Progress</t>
    </r>
  </si>
  <si>
    <r>
      <rPr>
        <b/>
        <sz val="8"/>
        <color rgb="FF231F20"/>
        <rFont val="Calibri"/>
        <family val="2"/>
        <scheme val="minor"/>
      </rPr>
      <t>CAPITAL WORK-IN- PROGRESS</t>
    </r>
  </si>
  <si>
    <r>
      <rPr>
        <b/>
        <sz val="8.5"/>
        <color rgb="FF414042"/>
        <rFont val="Calibri"/>
        <family val="2"/>
        <scheme val="minor"/>
      </rPr>
      <t>1,50,178</t>
    </r>
  </si>
  <si>
    <r>
      <rPr>
        <sz val="11"/>
        <color rgb="FF231F20"/>
        <rFont val="Calibri"/>
        <family val="2"/>
        <scheme val="minor"/>
      </rPr>
      <t>Capital Work-Inprogress</t>
    </r>
  </si>
  <si>
    <r>
      <rPr>
        <b/>
        <sz val="8"/>
        <color rgb="FF231F20"/>
        <rFont val="Calibri"/>
        <family val="2"/>
        <scheme val="minor"/>
      </rPr>
      <t>INTANGIBLE ASSETS UNDER DEVELOPMENT</t>
    </r>
  </si>
  <si>
    <r>
      <rPr>
        <sz val="11"/>
        <color rgb="FF231F20"/>
        <rFont val="Calibri"/>
        <family val="2"/>
        <scheme val="minor"/>
      </rPr>
      <t>Intangible Assets Under Development</t>
    </r>
  </si>
  <si>
    <t>computatopn of weighted average cost of capital</t>
  </si>
  <si>
    <t>cost of equity</t>
  </si>
  <si>
    <t>CAPM Method</t>
  </si>
  <si>
    <t xml:space="preserve">BETA </t>
  </si>
  <si>
    <t>(Source : moneycontrol as well as calculated</t>
  </si>
  <si>
    <t>Risk free rate</t>
  </si>
  <si>
    <t>(Source : world economiocs</t>
  </si>
  <si>
    <t>28..65</t>
  </si>
  <si>
    <t>average</t>
  </si>
  <si>
    <t>return on market</t>
  </si>
  <si>
    <t>CAPM Return</t>
  </si>
  <si>
    <t>cost of debt</t>
  </si>
  <si>
    <t>elements of capital</t>
  </si>
  <si>
    <t>cpital employed</t>
  </si>
  <si>
    <t>% of debt</t>
  </si>
  <si>
    <t>wacc</t>
  </si>
  <si>
    <t>computation of free cash flows for firm</t>
  </si>
  <si>
    <t>Profit after tax</t>
  </si>
  <si>
    <t>Ass Depriciation</t>
  </si>
  <si>
    <t>add interest after tax</t>
  </si>
  <si>
    <t>investment in PPE</t>
  </si>
  <si>
    <t>investment in working capital</t>
  </si>
  <si>
    <t>free cash flow of firm</t>
  </si>
  <si>
    <t>add net borrowings</t>
  </si>
  <si>
    <t>free cash flow of euity</t>
  </si>
  <si>
    <t>retained earning</t>
  </si>
  <si>
    <t>rate of return</t>
  </si>
  <si>
    <t>value at 5 year</t>
  </si>
  <si>
    <t>cash flows</t>
  </si>
  <si>
    <t>value of reliance industries</t>
  </si>
  <si>
    <t>no of shares</t>
  </si>
  <si>
    <t>value per share</t>
  </si>
  <si>
    <t>nifty returns past 5 years</t>
  </si>
  <si>
    <t>year</t>
  </si>
  <si>
    <t>BVPS</t>
  </si>
  <si>
    <t>since reliance industries valuation is based on cost basis theredore average price of previous year is taken as market value</t>
  </si>
  <si>
    <t xml:space="preserve">reliance price </t>
  </si>
  <si>
    <t>residual income approch</t>
  </si>
  <si>
    <t>reliance prices</t>
  </si>
  <si>
    <t>2022-23</t>
  </si>
  <si>
    <t>Trailing P/E</t>
  </si>
  <si>
    <t>Trailing earnings</t>
  </si>
  <si>
    <t>trailing price</t>
  </si>
  <si>
    <t>Efficient in managing Assets to generate Profits - ROA improving since last 2 year</t>
  </si>
  <si>
    <t>Company with Low Debt</t>
  </si>
  <si>
    <t>Increasing Revenue every Quarter for the past 4 Quarters</t>
  </si>
  <si>
    <t>Annual Net Profits improving for last 2 years</t>
  </si>
  <si>
    <t>Book Value per share Improving for last 2 years</t>
  </si>
  <si>
    <t>Company with Zero Promoter Pledge</t>
  </si>
  <si>
    <t>STRENGTHS</t>
  </si>
  <si>
    <t>Decline in Net Profit with falling Profit Margin (QoQ)</t>
  </si>
  <si>
    <t>Decline in Quarterly Net Profit with falling Profit Margin (YoY)</t>
  </si>
  <si>
    <t>Recent Results: Declining Operating Profit Margin and Net Profits (YoY)</t>
  </si>
  <si>
    <t>WEAKNESS</t>
  </si>
  <si>
    <t>EPS</t>
  </si>
  <si>
    <t>FORWARD P/e</t>
  </si>
  <si>
    <t>MPS</t>
  </si>
  <si>
    <t>Company Name</t>
  </si>
  <si>
    <t>Price</t>
  </si>
  <si>
    <t>% Chg</t>
  </si>
  <si>
    <t>MCap(Cr)</t>
  </si>
  <si>
    <t>TTM PE</t>
  </si>
  <si>
    <t>P/B</t>
  </si>
  <si>
    <t>ROE(%)</t>
  </si>
  <si>
    <t>1 Yr Perform(%)</t>
  </si>
  <si>
    <t>Net Profit(Rs.)</t>
  </si>
  <si>
    <t>Net Sales(Rs.)</t>
  </si>
  <si>
    <t>Debt to Equity</t>
  </si>
  <si>
    <t>Reliance</t>
  </si>
  <si>
    <t>ONGC</t>
  </si>
  <si>
    <t>Petronet LNG</t>
  </si>
  <si>
    <t>Oil India</t>
  </si>
  <si>
    <t>HOEC</t>
  </si>
  <si>
    <t>52 Week High</t>
  </si>
  <si>
    <t>52 Week Low</t>
  </si>
  <si>
    <t>Industry</t>
  </si>
  <si>
    <t>Valuation Ratios</t>
  </si>
  <si>
    <t>P/E (x)</t>
  </si>
  <si>
    <t>P/B (x)</t>
  </si>
  <si>
    <t>EV/EBITDA (x)</t>
  </si>
  <si>
    <t>P/S (x)</t>
  </si>
  <si>
    <t>valuation based on industry median</t>
  </si>
  <si>
    <t>NO OF SHARES</t>
  </si>
  <si>
    <t>Sales</t>
  </si>
  <si>
    <t>sales per share</t>
  </si>
  <si>
    <t>EBITD</t>
  </si>
  <si>
    <t>Profit before tax</t>
  </si>
  <si>
    <t>add interest</t>
  </si>
  <si>
    <t>add depreciation</t>
  </si>
  <si>
    <t>ebitda</t>
  </si>
  <si>
    <t>Enterprise value</t>
  </si>
  <si>
    <t xml:space="preserve">market value of company </t>
  </si>
  <si>
    <t>debt value</t>
  </si>
  <si>
    <t>cash &amp; cash equivalents</t>
  </si>
  <si>
    <t>todays price</t>
  </si>
  <si>
    <t>average price</t>
  </si>
  <si>
    <t>justified p/e</t>
  </si>
  <si>
    <t xml:space="preserve">justified price </t>
  </si>
  <si>
    <t>Mar-18</t>
  </si>
  <si>
    <t>Mar-19</t>
  </si>
  <si>
    <t>Mar-20</t>
  </si>
  <si>
    <t>Mar-21</t>
  </si>
  <si>
    <t>Mar-22</t>
  </si>
  <si>
    <t>Mar-23</t>
  </si>
  <si>
    <t>Mar-24</t>
  </si>
  <si>
    <t>Mar-25</t>
  </si>
  <si>
    <t>Mar-26</t>
  </si>
  <si>
    <t>Mar-27</t>
  </si>
  <si>
    <t>EXPECTED figures</t>
  </si>
  <si>
    <t>less debt</t>
  </si>
  <si>
    <t>enterprise equity calue</t>
  </si>
  <si>
    <t>target price</t>
  </si>
  <si>
    <t>buying price</t>
  </si>
  <si>
    <t>VALUATION based on Reliance Industries Ltd based on multiples</t>
  </si>
  <si>
    <t xml:space="preserve">Expected valuation ratios based on current priceIn relation to current price </t>
  </si>
  <si>
    <t>Since valuation ratios are falling and earning,bookvalue and sales are rising there price seems to be overpriced</t>
  </si>
  <si>
    <t>VALUATION based on Reliance Industries Ltd based on enterprise calue</t>
  </si>
  <si>
    <t>1year</t>
  </si>
  <si>
    <t>2year</t>
  </si>
  <si>
    <t>buy</t>
  </si>
  <si>
    <t>target</t>
  </si>
  <si>
    <t>share capital</t>
  </si>
  <si>
    <t>market capitalisation</t>
  </si>
  <si>
    <t>analysis</t>
  </si>
  <si>
    <t>Table of Contents</t>
  </si>
  <si>
    <t>Sheet Name</t>
  </si>
  <si>
    <t>Link to Sheet</t>
  </si>
  <si>
    <t>valuation freecash flow</t>
  </si>
  <si>
    <t>marketbased valuations</t>
  </si>
  <si>
    <t>balancesheet</t>
  </si>
  <si>
    <t>profitloss</t>
  </si>
  <si>
    <t>cashflow</t>
  </si>
  <si>
    <t>other equity</t>
  </si>
  <si>
    <t>WORKING CAPITAL</t>
  </si>
  <si>
    <t>revenue</t>
  </si>
  <si>
    <t>segmentrevenue</t>
  </si>
  <si>
    <t>Valuation based on residual income approch</t>
  </si>
  <si>
    <t>Valuation based on cash flow</t>
  </si>
  <si>
    <t>Valuation based on price ratio</t>
  </si>
  <si>
    <t>Forcasted Balancesheet</t>
  </si>
  <si>
    <t>Forcasted Income statement</t>
  </si>
  <si>
    <t>Forcasted cash flow Statement</t>
  </si>
  <si>
    <t>Forcasted Other Equity</t>
  </si>
  <si>
    <t>Forcasted Debt &amp; Investment</t>
  </si>
  <si>
    <t>Forcasted Working Capital</t>
  </si>
  <si>
    <t>Forcasted Fixed assets</t>
  </si>
  <si>
    <t>Forcasted Revenue</t>
  </si>
  <si>
    <t>Forcasted Expenses</t>
  </si>
  <si>
    <t>Segment Analysis</t>
  </si>
  <si>
    <t>0</t>
  </si>
  <si>
    <t>.</t>
  </si>
  <si>
    <t>.2</t>
  </si>
  <si>
    <t xml:space="preserve"> </t>
  </si>
  <si>
    <t xml:space="preserve"> 2</t>
  </si>
  <si>
    <t xml:space="preserve"> 3</t>
  </si>
  <si>
    <t>Return Ratios</t>
  </si>
  <si>
    <t>Return on Networth / Equity (%)</t>
  </si>
  <si>
    <t>ROCE (%)</t>
  </si>
  <si>
    <t>Return On Assets (%)</t>
  </si>
  <si>
    <t>sales growth historical</t>
  </si>
  <si>
    <t>sales to expected</t>
  </si>
  <si>
    <t xml:space="preserve">profit after tax </t>
  </si>
  <si>
    <t>eps</t>
  </si>
  <si>
    <t>cash flow</t>
  </si>
  <si>
    <t>operating cash flow</t>
  </si>
  <si>
    <t>Beta</t>
  </si>
  <si>
    <t>High</t>
  </si>
  <si>
    <t>Low</t>
  </si>
  <si>
    <t>marketcap</t>
  </si>
  <si>
    <t>P/E</t>
  </si>
  <si>
    <t>change</t>
  </si>
  <si>
    <t>particulard</t>
  </si>
  <si>
    <t>details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</si>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</sst>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 #,##0.00;[Red]&quot;₹&quot;\ \-#,##0.00"/>
    <numFmt numFmtId="164" formatCode="_ [$₹-4009]\ * #,##0.00_ ;_ [$₹-4009]\ * \-#,##0.00_ ;_ [$₹-4009]\ * &quot;-&quot;??_ ;_ @_ "/>
    <numFmt numFmtId="165" formatCode="#,##0_);\(#,##0\)"/>
    <numFmt numFmtId="166" formatCode="0_);\(0\)"/>
    <numFmt numFmtId="167" formatCode="dd\-mm\-yyyy;@"/>
    <numFmt numFmtId="168" formatCode="0.0%"/>
    <numFmt numFmtId="169" formatCode="0.0"/>
    <numFmt numFmtId="170" formatCode="0.000"/>
    <numFmt numFmtId="171" formatCode="&quot;₹&quot;\ #,##0.00"/>
    <numFmt numFmtId="172" formatCode="_ [$₹-4009]\ * #,##0_ ;_ [$₹-4009]\ * \-#,##0_ ;_ [$₹-4009]\ * &quot;-&quot;_ ;_ @_ "/>
  </numFmts>
  <fonts count="143"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sz val="12"/>
      <color rgb="FF414042"/>
      <name val="Calibri"/>
      <family val="2"/>
      <scheme val="minor"/>
    </font>
    <font>
      <sz val="12"/>
      <name val="Calibri"/>
      <family val="2"/>
      <scheme val="minor"/>
    </font>
    <font>
      <b/>
      <sz val="14"/>
      <color rgb="FFFF0000"/>
      <name val="Calibri"/>
      <family val="2"/>
      <scheme val="minor"/>
    </font>
    <font>
      <b/>
      <sz val="12"/>
      <color rgb="FFFF0000"/>
      <name val="Calibri"/>
      <family val="2"/>
      <scheme val="minor"/>
    </font>
    <font>
      <sz val="12"/>
      <color rgb="FF231F20"/>
      <name val="Calibri"/>
      <family val="2"/>
      <scheme val="minor"/>
    </font>
    <font>
      <sz val="12"/>
      <color rgb="FF000000"/>
      <name val="Calibri"/>
      <family val="2"/>
      <scheme val="minor"/>
    </font>
    <font>
      <b/>
      <sz val="12"/>
      <color theme="1"/>
      <name val="Calibri"/>
      <family val="2"/>
      <scheme val="minor"/>
    </font>
    <font>
      <sz val="16"/>
      <color theme="1"/>
      <name val="Calibri"/>
      <family val="2"/>
      <scheme val="minor"/>
    </font>
    <font>
      <sz val="28"/>
      <color theme="9" tint="-0.249977111117893"/>
      <name val="Calibri"/>
      <family val="2"/>
      <scheme val="minor"/>
    </font>
    <font>
      <b/>
      <sz val="12"/>
      <color theme="1"/>
      <name val="Calibri"/>
      <family val="2"/>
    </font>
    <font>
      <b/>
      <sz val="12"/>
      <color rgb="FFFF0000"/>
      <name val="Calibri"/>
      <family val="2"/>
    </font>
    <font>
      <sz val="11"/>
      <color theme="1"/>
      <name val="Calibri"/>
      <family val="2"/>
    </font>
    <font>
      <sz val="7"/>
      <color theme="1"/>
      <name val="Calibri"/>
      <family val="2"/>
    </font>
    <font>
      <b/>
      <sz val="7.5"/>
      <name val="Calibri"/>
      <family val="2"/>
    </font>
    <font>
      <sz val="12"/>
      <color theme="1"/>
      <name val="Calibri"/>
      <family val="2"/>
    </font>
    <font>
      <sz val="12"/>
      <color rgb="FF231F20"/>
      <name val="Calibri"/>
      <family val="2"/>
    </font>
    <font>
      <sz val="12"/>
      <name val="Calibri"/>
      <family val="2"/>
    </font>
    <font>
      <sz val="12"/>
      <color rgb="FF000000"/>
      <name val="Calibri"/>
      <family val="2"/>
    </font>
    <font>
      <b/>
      <sz val="12"/>
      <color rgb="FF231F20"/>
      <name val="Calibri"/>
      <family val="2"/>
    </font>
    <font>
      <b/>
      <sz val="12"/>
      <name val="Calibri"/>
      <family val="2"/>
    </font>
    <font>
      <b/>
      <sz val="11"/>
      <color theme="1"/>
      <name val="Calibri"/>
      <family val="2"/>
    </font>
    <font>
      <b/>
      <sz val="14"/>
      <color rgb="FFFF0000"/>
      <name val="Calibri"/>
      <family val="2"/>
    </font>
    <font>
      <b/>
      <sz val="18"/>
      <color theme="1"/>
      <name val="Calibri"/>
      <family val="2"/>
    </font>
    <font>
      <b/>
      <sz val="18"/>
      <color theme="0"/>
      <name val="Calibri"/>
      <family val="2"/>
    </font>
    <font>
      <sz val="11"/>
      <name val="Lucida Sans"/>
      <family val="2"/>
    </font>
    <font>
      <sz val="11"/>
      <color rgb="FF231F20"/>
      <name val="Lucida Sans"/>
      <family val="2"/>
    </font>
    <font>
      <b/>
      <sz val="11"/>
      <color rgb="FFFF0000"/>
      <name val="Calibri"/>
      <family val="2"/>
      <scheme val="minor"/>
    </font>
    <font>
      <b/>
      <sz val="12"/>
      <name val="Lucida Sans"/>
      <family val="2"/>
    </font>
    <font>
      <b/>
      <sz val="7.5"/>
      <color rgb="FF414042"/>
      <name val="Gill Sans MT"/>
      <family val="2"/>
    </font>
    <font>
      <b/>
      <sz val="7.5"/>
      <name val="Gill Sans MT"/>
      <family val="2"/>
    </font>
    <font>
      <sz val="8.5"/>
      <name val="Calibri"/>
      <family val="2"/>
    </font>
    <font>
      <b/>
      <sz val="8.5"/>
      <name val="Gill Sans MT"/>
      <family val="2"/>
    </font>
    <font>
      <b/>
      <sz val="11"/>
      <name val="Gill Sans MT"/>
      <family val="2"/>
    </font>
    <font>
      <b/>
      <sz val="11"/>
      <color rgb="FF414042"/>
      <name val="Gill Sans MT"/>
      <family val="2"/>
    </font>
    <font>
      <sz val="11"/>
      <name val="Calibri"/>
      <family val="2"/>
    </font>
    <font>
      <sz val="11"/>
      <color rgb="FF414042"/>
      <name val="Calibri"/>
      <family val="2"/>
    </font>
    <font>
      <sz val="10"/>
      <color theme="1"/>
      <name val="Times New Roman"/>
      <family val="1"/>
    </font>
    <font>
      <b/>
      <sz val="10"/>
      <color theme="1"/>
      <name val="Times New Roman"/>
      <family val="1"/>
    </font>
    <font>
      <b/>
      <sz val="12"/>
      <color theme="1"/>
      <name val="Times New Roman"/>
      <family val="1"/>
    </font>
    <font>
      <b/>
      <sz val="12"/>
      <color rgb="FF000000"/>
      <name val="Lucida Sans"/>
      <family val="2"/>
    </font>
    <font>
      <b/>
      <sz val="8.5"/>
      <color rgb="FF0095D5"/>
      <name val="Gill Sans MT"/>
      <family val="2"/>
    </font>
    <font>
      <b/>
      <sz val="8"/>
      <name val="Gill Sans MT"/>
      <family val="2"/>
    </font>
    <font>
      <b/>
      <sz val="8"/>
      <color rgb="FF231F20"/>
      <name val="Gill Sans MT"/>
      <family val="2"/>
    </font>
    <font>
      <b/>
      <sz val="7.5"/>
      <color theme="0"/>
      <name val="Gill Sans MT"/>
      <family val="2"/>
    </font>
    <font>
      <sz val="10"/>
      <color rgb="FF000000"/>
      <name val="Times New Roman"/>
      <family val="1"/>
      <charset val="204"/>
    </font>
    <font>
      <sz val="10"/>
      <color rgb="FF000000"/>
      <name val="Times New Roman"/>
      <family val="1"/>
    </font>
    <font>
      <b/>
      <sz val="10"/>
      <color rgb="FF000000"/>
      <name val="Times New Roman"/>
      <family val="1"/>
    </font>
    <font>
      <b/>
      <u/>
      <sz val="8.5"/>
      <color rgb="FF0095D5"/>
      <name val="Gill Sans MT"/>
      <family val="2"/>
    </font>
    <font>
      <sz val="11"/>
      <color rgb="FF000000"/>
      <name val="Times New Roman"/>
      <family val="1"/>
    </font>
    <font>
      <b/>
      <sz val="11"/>
      <color rgb="FF000000"/>
      <name val="Times New Roman"/>
      <family val="1"/>
    </font>
    <font>
      <sz val="12"/>
      <color rgb="FF414042"/>
      <name val="Calibri"/>
      <family val="2"/>
    </font>
    <font>
      <sz val="12"/>
      <color rgb="FF000000"/>
      <name val="Times New Roman"/>
      <family val="1"/>
    </font>
    <font>
      <b/>
      <sz val="12"/>
      <color rgb="FF414042"/>
      <name val="Gill Sans MT"/>
      <family val="2"/>
    </font>
    <font>
      <b/>
      <sz val="12"/>
      <name val="Gill Sans MT"/>
      <family val="2"/>
    </font>
    <font>
      <b/>
      <sz val="12"/>
      <color rgb="FF231F20"/>
      <name val="Gill Sans MT"/>
      <family val="2"/>
    </font>
    <font>
      <sz val="11"/>
      <color theme="1"/>
      <name val="Calibri"/>
      <family val="2"/>
      <scheme val="minor"/>
    </font>
    <font>
      <sz val="11"/>
      <color theme="0"/>
      <name val="Calibri"/>
      <family val="2"/>
      <scheme val="minor"/>
    </font>
    <font>
      <b/>
      <sz val="12"/>
      <color theme="0"/>
      <name val="Times New Roman"/>
      <family val="1"/>
    </font>
    <font>
      <b/>
      <sz val="12"/>
      <color theme="0"/>
      <name val="Calibri"/>
      <family val="2"/>
      <scheme val="minor"/>
    </font>
    <font>
      <b/>
      <sz val="24"/>
      <color theme="0"/>
      <name val="Times New Roman"/>
      <family val="1"/>
    </font>
    <font>
      <b/>
      <sz val="12"/>
      <color rgb="FFFF0000"/>
      <name val="Times New Roman"/>
      <family val="1"/>
    </font>
    <font>
      <b/>
      <sz val="12"/>
      <color theme="0"/>
      <name val="Tahoma"/>
      <family val="2"/>
    </font>
    <font>
      <b/>
      <sz val="12"/>
      <color theme="4" tint="-0.249977111117893"/>
      <name val="Calibri"/>
      <family val="2"/>
      <scheme val="minor"/>
    </font>
    <font>
      <b/>
      <sz val="16"/>
      <color theme="0"/>
      <name val="Calibri"/>
      <family val="2"/>
      <scheme val="minor"/>
    </font>
    <font>
      <sz val="14"/>
      <color theme="0"/>
      <name val="Calibri"/>
      <family val="2"/>
      <scheme val="minor"/>
    </font>
    <font>
      <b/>
      <sz val="16"/>
      <color theme="1"/>
      <name val="Calibri"/>
      <family val="2"/>
      <scheme val="minor"/>
    </font>
    <font>
      <u/>
      <sz val="11"/>
      <color theme="10"/>
      <name val="Calibri"/>
      <family val="2"/>
      <scheme val="minor"/>
    </font>
    <font>
      <b/>
      <sz val="14"/>
      <color theme="4" tint="-0.249977111117893"/>
      <name val="Calibri"/>
      <family val="2"/>
      <scheme val="minor"/>
    </font>
    <font>
      <b/>
      <u/>
      <sz val="14"/>
      <color theme="4" tint="-0.249977111117893"/>
      <name val="Calibri"/>
      <family val="2"/>
      <scheme val="minor"/>
    </font>
    <font>
      <b/>
      <sz val="11"/>
      <color theme="0"/>
      <name val="Calibri"/>
      <family val="2"/>
      <scheme val="minor"/>
    </font>
    <font>
      <b/>
      <sz val="16"/>
      <color rgb="FFFF0000"/>
      <name val="Calibri"/>
      <family val="2"/>
      <scheme val="minor"/>
    </font>
    <font>
      <b/>
      <sz val="18"/>
      <color rgb="FFFF0000"/>
      <name val="Calibri"/>
      <family val="2"/>
      <scheme val="minor"/>
    </font>
    <font>
      <b/>
      <sz val="11"/>
      <name val="Calibri"/>
      <family val="2"/>
      <scheme val="minor"/>
    </font>
    <font>
      <sz val="14"/>
      <color rgb="FF7030A0"/>
      <name val="Calibri"/>
      <family val="2"/>
      <scheme val="minor"/>
    </font>
    <font>
      <sz val="8"/>
      <name val="Calibri"/>
      <family val="2"/>
      <scheme val="minor"/>
    </font>
    <font>
      <b/>
      <sz val="22"/>
      <color rgb="FFFF0000"/>
      <name val="Calibri"/>
      <family val="2"/>
      <scheme val="minor"/>
    </font>
    <font>
      <b/>
      <sz val="11"/>
      <color rgb="FF002060"/>
      <name val="Calibri"/>
      <family val="2"/>
      <scheme val="minor"/>
    </font>
    <font>
      <b/>
      <sz val="12"/>
      <color theme="4"/>
      <name val="Calibri"/>
      <family val="2"/>
      <scheme val="minor"/>
    </font>
    <font>
      <sz val="12"/>
      <color theme="4"/>
      <name val="Calibri"/>
      <family val="2"/>
      <scheme val="minor"/>
    </font>
    <font>
      <b/>
      <sz val="12"/>
      <color theme="4"/>
      <name val="Calibri"/>
      <family val="2"/>
    </font>
    <font>
      <sz val="12"/>
      <color theme="4" tint="-0.249977111117893"/>
      <name val="Calibri"/>
      <family val="2"/>
      <scheme val="minor"/>
    </font>
    <font>
      <b/>
      <sz val="12"/>
      <color rgb="FF002060"/>
      <name val="Times New Roman"/>
      <family val="1"/>
    </font>
    <font>
      <b/>
      <sz val="12"/>
      <color rgb="FF002060"/>
      <name val="Calibri"/>
      <family val="2"/>
      <scheme val="minor"/>
    </font>
    <font>
      <sz val="11"/>
      <color theme="1"/>
      <name val="Arial Black"/>
      <family val="2"/>
    </font>
    <font>
      <b/>
      <sz val="11"/>
      <color theme="1"/>
      <name val="Arial Black"/>
      <family val="2"/>
    </font>
    <font>
      <b/>
      <sz val="11"/>
      <color rgb="FFFF0000"/>
      <name val="Arial Black"/>
      <family val="2"/>
    </font>
    <font>
      <b/>
      <sz val="11"/>
      <color rgb="FF000000"/>
      <name val="Arial Black"/>
      <family val="2"/>
    </font>
    <font>
      <b/>
      <sz val="11"/>
      <color rgb="FF231F20"/>
      <name val="Arial Black"/>
      <family val="2"/>
    </font>
    <font>
      <b/>
      <sz val="11"/>
      <name val="Arial Black"/>
      <family val="2"/>
    </font>
    <font>
      <sz val="11"/>
      <color rgb="FFFF0000"/>
      <name val="Arial Black"/>
      <family val="2"/>
    </font>
    <font>
      <sz val="11"/>
      <color rgb="FF231F20"/>
      <name val="Arial Black"/>
      <family val="2"/>
    </font>
    <font>
      <b/>
      <sz val="11"/>
      <color rgb="FF002060"/>
      <name val="Arial Black"/>
      <family val="2"/>
    </font>
    <font>
      <sz val="11"/>
      <color theme="0"/>
      <name val="Arial Black"/>
      <family val="2"/>
    </font>
    <font>
      <b/>
      <sz val="11"/>
      <color theme="0"/>
      <name val="Arial Black"/>
      <family val="2"/>
    </font>
    <font>
      <b/>
      <sz val="8.5"/>
      <name val="Calibri"/>
      <family val="2"/>
      <scheme val="minor"/>
    </font>
    <font>
      <b/>
      <sz val="8.5"/>
      <color rgb="FF0095D5"/>
      <name val="Calibri"/>
      <family val="2"/>
      <scheme val="minor"/>
    </font>
    <font>
      <b/>
      <sz val="11"/>
      <color rgb="FF414042"/>
      <name val="Calibri"/>
      <family val="2"/>
      <scheme val="minor"/>
    </font>
    <font>
      <sz val="11"/>
      <color rgb="FF414042"/>
      <name val="Calibri"/>
      <family val="2"/>
      <scheme val="minor"/>
    </font>
    <font>
      <sz val="11"/>
      <name val="Calibri"/>
      <family val="2"/>
      <scheme val="minor"/>
    </font>
    <font>
      <vertAlign val="superscript"/>
      <sz val="11"/>
      <color rgb="FF414042"/>
      <name val="Calibri"/>
      <family val="2"/>
      <scheme val="minor"/>
    </font>
    <font>
      <vertAlign val="superscript"/>
      <sz val="11"/>
      <name val="Calibri"/>
      <family val="2"/>
      <scheme val="minor"/>
    </font>
    <font>
      <b/>
      <sz val="11"/>
      <color rgb="FF231F20"/>
      <name val="Calibri"/>
      <family val="2"/>
      <scheme val="minor"/>
    </font>
    <font>
      <b/>
      <sz val="12"/>
      <color rgb="FF414042"/>
      <name val="Calibri"/>
      <family val="2"/>
      <scheme val="minor"/>
    </font>
    <font>
      <b/>
      <sz val="11"/>
      <color rgb="FF2B82B0"/>
      <name val="Calibri"/>
      <family val="2"/>
      <scheme val="minor"/>
    </font>
    <font>
      <b/>
      <sz val="11"/>
      <color rgb="FF0095D5"/>
      <name val="Calibri"/>
      <family val="2"/>
      <scheme val="minor"/>
    </font>
    <font>
      <sz val="11"/>
      <color rgb="FF00BDF2"/>
      <name val="Calibri"/>
      <family val="2"/>
      <scheme val="minor"/>
    </font>
    <font>
      <sz val="11"/>
      <color rgb="FF6D6E71"/>
      <name val="Calibri"/>
      <family val="2"/>
      <scheme val="minor"/>
    </font>
    <font>
      <b/>
      <sz val="11"/>
      <color rgb="FF00BDF2"/>
      <name val="Calibri"/>
      <family val="2"/>
      <scheme val="minor"/>
    </font>
    <font>
      <sz val="11"/>
      <color rgb="FF231F20"/>
      <name val="Calibri"/>
      <family val="2"/>
      <scheme val="minor"/>
    </font>
    <font>
      <sz val="11"/>
      <color rgb="FF000000"/>
      <name val="Calibri"/>
      <family val="2"/>
      <scheme val="minor"/>
    </font>
    <font>
      <b/>
      <sz val="11"/>
      <color rgb="FF000000"/>
      <name val="Calibri"/>
      <family val="2"/>
      <scheme val="minor"/>
    </font>
    <font>
      <vertAlign val="superscript"/>
      <sz val="11"/>
      <color rgb="FF231F20"/>
      <name val="Calibri"/>
      <family val="2"/>
      <scheme val="minor"/>
    </font>
    <font>
      <vertAlign val="subscript"/>
      <sz val="11"/>
      <name val="Calibri"/>
      <family val="2"/>
      <scheme val="minor"/>
    </font>
    <font>
      <b/>
      <sz val="8"/>
      <name val="Calibri"/>
      <family val="2"/>
      <scheme val="minor"/>
    </font>
    <font>
      <b/>
      <sz val="8"/>
      <color rgb="FF414042"/>
      <name val="Calibri"/>
      <family val="2"/>
      <scheme val="minor"/>
    </font>
    <font>
      <b/>
      <sz val="8.5"/>
      <color rgb="FF414042"/>
      <name val="Calibri"/>
      <family val="2"/>
      <scheme val="minor"/>
    </font>
    <font>
      <b/>
      <sz val="8"/>
      <color rgb="FF231F20"/>
      <name val="Calibri"/>
      <family val="2"/>
      <scheme val="minor"/>
    </font>
    <font>
      <b/>
      <sz val="14"/>
      <color theme="0"/>
      <name val="Calibri"/>
      <family val="2"/>
      <scheme val="minor"/>
    </font>
    <font>
      <sz val="10"/>
      <color rgb="FF000000"/>
      <name val="Arial"/>
      <family val="2"/>
    </font>
    <font>
      <b/>
      <sz val="14"/>
      <color theme="9"/>
      <name val="Calibri"/>
      <family val="2"/>
      <scheme val="minor"/>
    </font>
    <font>
      <sz val="11"/>
      <color rgb="FF333333"/>
      <name val="Calibri"/>
      <family val="2"/>
      <scheme val="minor"/>
    </font>
    <font>
      <b/>
      <sz val="12"/>
      <color rgb="FF000000"/>
      <name val="Calibri"/>
      <family val="2"/>
      <scheme val="minor"/>
    </font>
    <font>
      <u/>
      <sz val="12"/>
      <color theme="10"/>
      <name val="Calibri"/>
      <family val="2"/>
      <scheme val="minor"/>
    </font>
    <font>
      <sz val="12"/>
      <color rgb="FF333333"/>
      <name val="Calibri"/>
      <family val="2"/>
      <scheme val="minor"/>
    </font>
    <font>
      <b/>
      <sz val="10"/>
      <color theme="9" tint="-0.499984740745262"/>
      <name val="Arial"/>
      <family val="2"/>
    </font>
    <font>
      <b/>
      <sz val="11"/>
      <color theme="9" tint="-0.499984740745262"/>
      <name val="Calibri"/>
      <family val="2"/>
      <scheme val="minor"/>
    </font>
    <font>
      <sz val="11"/>
      <color rgb="FFFF0000"/>
      <name val="Arial"/>
      <family val="2"/>
    </font>
    <font>
      <b/>
      <sz val="11"/>
      <color rgb="FF808080"/>
      <name val="Calibri"/>
      <family val="2"/>
      <scheme val="minor"/>
    </font>
    <font>
      <b/>
      <sz val="11"/>
      <color rgb="FF202020"/>
      <name val="Calibri"/>
      <family val="2"/>
      <scheme val="minor"/>
    </font>
    <font>
      <b/>
      <sz val="11"/>
      <color rgb="FF333333"/>
      <name val="Calibri"/>
      <family val="2"/>
      <scheme val="minor"/>
    </font>
    <font>
      <b/>
      <sz val="11"/>
      <color theme="9"/>
      <name val="Calibri"/>
      <family val="2"/>
      <scheme val="minor"/>
    </font>
    <font>
      <b/>
      <sz val="11"/>
      <color theme="9"/>
      <name val="Arial"/>
      <family val="2"/>
    </font>
    <font>
      <b/>
      <sz val="14"/>
      <color theme="1"/>
      <name val="Calibri"/>
      <family val="2"/>
      <scheme val="minor"/>
    </font>
    <font>
      <b/>
      <sz val="20"/>
      <color rgb="FF333333"/>
      <name val="Calibri"/>
      <family val="2"/>
      <scheme val="minor"/>
    </font>
    <font>
      <b/>
      <sz val="16"/>
      <color theme="9" tint="-0.499984740745262"/>
      <name val="Calibri"/>
      <family val="2"/>
      <scheme val="minor"/>
    </font>
    <font>
      <sz val="8"/>
      <color rgb="FF333333"/>
      <name val="Lato"/>
      <family val="2"/>
    </font>
    <font>
      <b/>
      <sz val="12"/>
      <color rgb="FF202020"/>
      <name val="Calibri"/>
      <family val="2"/>
      <scheme val="minor"/>
    </font>
    <font>
      <b/>
      <sz val="12"/>
      <color rgb="FF333333"/>
      <name val="Calibri"/>
      <family val="2"/>
      <scheme val="minor"/>
    </font>
    <font>
      <sz val="12"/>
      <color rgb="FFFF0000"/>
      <name val="Calibri"/>
      <family val="2"/>
      <scheme val="minor"/>
    </font>
  </fonts>
  <fills count="24">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9"/>
        <bgColor theme="9"/>
      </patternFill>
    </fill>
    <fill>
      <patternFill patternType="solid">
        <fgColor rgb="FFE5EEF9"/>
      </patternFill>
    </fill>
    <fill>
      <patternFill patternType="solid">
        <fgColor rgb="FFC4DBF2"/>
      </patternFill>
    </fill>
    <fill>
      <patternFill patternType="solid">
        <fgColor rgb="FFE4F5FD"/>
      </patternFill>
    </fill>
    <fill>
      <patternFill patternType="solid">
        <fgColor rgb="FFABE1FA"/>
      </patternFill>
    </fill>
    <fill>
      <patternFill patternType="solid">
        <fgColor rgb="FFF0F9FE"/>
      </patternFill>
    </fill>
    <fill>
      <patternFill patternType="solid">
        <fgColor rgb="FFCAEBFC"/>
      </patternFill>
    </fill>
    <fill>
      <patternFill patternType="solid">
        <fgColor theme="4" tint="0.39997558519241921"/>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3" tint="0.59999389629810485"/>
        <bgColor indexed="64"/>
      </patternFill>
    </fill>
    <fill>
      <patternFill patternType="solid">
        <fgColor theme="6" tint="0.79998168889431442"/>
        <bgColor theme="6" tint="0.79998168889431442"/>
      </patternFill>
    </fill>
    <fill>
      <patternFill patternType="solid">
        <fgColor rgb="FFFFFF00"/>
        <bgColor indexed="64"/>
      </patternFill>
    </fill>
    <fill>
      <patternFill patternType="solid">
        <fgColor theme="4"/>
        <bgColor indexed="64"/>
      </patternFill>
    </fill>
    <fill>
      <patternFill patternType="solid">
        <fgColor rgb="FFFFFFFF"/>
        <bgColor indexed="64"/>
      </patternFill>
    </fill>
    <fill>
      <patternFill patternType="solid">
        <fgColor rgb="FFF6F8FB"/>
        <bgColor indexed="64"/>
      </patternFill>
    </fill>
    <fill>
      <patternFill patternType="solid">
        <fgColor theme="4" tint="0.79998168889431442"/>
        <bgColor indexed="64"/>
      </patternFill>
    </fill>
    <fill>
      <patternFill patternType="solid">
        <fgColor rgb="FFD9D9D9"/>
        <bgColor indexed="64"/>
      </patternFill>
    </fill>
  </fills>
  <borders count="83">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right/>
      <top style="thin">
        <color rgb="FFB1B3B6"/>
      </top>
      <bottom style="thin">
        <color rgb="FFB1B3B6"/>
      </bottom>
      <diagonal/>
    </border>
    <border>
      <left/>
      <right/>
      <top style="thin">
        <color rgb="FFB1B3B6"/>
      </top>
      <bottom style="thin">
        <color rgb="FF0095D5"/>
      </bottom>
      <diagonal/>
    </border>
    <border>
      <left/>
      <right/>
      <top style="thin">
        <color rgb="FF0095D5"/>
      </top>
      <bottom style="thin">
        <color rgb="FF0095D5"/>
      </bottom>
      <diagonal/>
    </border>
    <border>
      <left/>
      <right/>
      <top style="thin">
        <color rgb="FF0095D5"/>
      </top>
      <bottom/>
      <diagonal/>
    </border>
    <border>
      <left/>
      <right/>
      <top/>
      <bottom style="thin">
        <color rgb="FFB1B3B6"/>
      </bottom>
      <diagonal/>
    </border>
    <border>
      <left/>
      <right/>
      <top/>
      <bottom style="thin">
        <color rgb="FF0095D5"/>
      </bottom>
      <diagonal/>
    </border>
    <border>
      <left/>
      <right style="thin">
        <color theme="9" tint="0.39997558519241921"/>
      </right>
      <top style="thin">
        <color theme="9" tint="0.39997558519241921"/>
      </top>
      <bottom style="thin">
        <color theme="9" tint="0.39997558519241921"/>
      </bottom>
      <diagonal/>
    </border>
    <border>
      <left/>
      <right/>
      <top style="thin">
        <color rgb="FFBCBEC0"/>
      </top>
      <bottom style="thin">
        <color rgb="FFBCBEC0"/>
      </bottom>
      <diagonal/>
    </border>
    <border>
      <left/>
      <right/>
      <top style="thin">
        <color rgb="FFBCBEC0"/>
      </top>
      <bottom style="thin">
        <color rgb="FF00BDF2"/>
      </bottom>
      <diagonal/>
    </border>
    <border>
      <left/>
      <right/>
      <top style="thin">
        <color rgb="FF00BDF2"/>
      </top>
      <bottom style="thin">
        <color rgb="FF00BDF2"/>
      </bottom>
      <diagonal/>
    </border>
    <border>
      <left/>
      <right style="thin">
        <color rgb="FFFFFFFF"/>
      </right>
      <top style="thin">
        <color rgb="FF0095D5"/>
      </top>
      <bottom style="thin">
        <color rgb="FF0095D5"/>
      </bottom>
      <diagonal/>
    </border>
    <border>
      <left style="thin">
        <color rgb="FFFFFFFF"/>
      </left>
      <right/>
      <top style="thin">
        <color rgb="FF0095D5"/>
      </top>
      <bottom style="thin">
        <color rgb="FF0095D5"/>
      </bottom>
      <diagonal/>
    </border>
    <border>
      <left style="thin">
        <color rgb="FFFFFFFF"/>
      </left>
      <right/>
      <top/>
      <bottom style="thin">
        <color rgb="FF0095D5"/>
      </bottom>
      <diagonal/>
    </border>
    <border>
      <left/>
      <right/>
      <top style="thin">
        <color rgb="FF0095D5"/>
      </top>
      <bottom style="thin">
        <color rgb="FFB1B3B6"/>
      </bottom>
      <diagonal/>
    </border>
    <border>
      <left/>
      <right style="thin">
        <color rgb="FFFFFFFF"/>
      </right>
      <top style="thin">
        <color rgb="FF0095D5"/>
      </top>
      <bottom style="thin">
        <color rgb="FFB1B3B6"/>
      </bottom>
      <diagonal/>
    </border>
    <border>
      <left style="thin">
        <color rgb="FFFFFFFF"/>
      </left>
      <right/>
      <top style="thin">
        <color rgb="FF0095D5"/>
      </top>
      <bottom style="thin">
        <color rgb="FFB1B3B6"/>
      </bottom>
      <diagonal/>
    </border>
    <border>
      <left/>
      <right style="thin">
        <color rgb="FFFFFFFF"/>
      </right>
      <top style="thin">
        <color rgb="FFB1B3B6"/>
      </top>
      <bottom style="thin">
        <color rgb="FFB1B3B6"/>
      </bottom>
      <diagonal/>
    </border>
    <border>
      <left style="thin">
        <color rgb="FFFFFFFF"/>
      </left>
      <right/>
      <top style="thin">
        <color rgb="FFB1B3B6"/>
      </top>
      <bottom style="thin">
        <color rgb="FFB1B3B6"/>
      </bottom>
      <diagonal/>
    </border>
    <border>
      <left/>
      <right style="thin">
        <color rgb="FFFFFFFF"/>
      </right>
      <top style="thin">
        <color rgb="FFB1B3B6"/>
      </top>
      <bottom style="thin">
        <color rgb="FF0095D5"/>
      </bottom>
      <diagonal/>
    </border>
    <border>
      <left style="thin">
        <color rgb="FFFFFFFF"/>
      </left>
      <right/>
      <top style="thin">
        <color rgb="FFB1B3B6"/>
      </top>
      <bottom style="thin">
        <color rgb="FF0095D5"/>
      </bottom>
      <diagonal/>
    </border>
    <border>
      <left/>
      <right/>
      <top style="thin">
        <color rgb="FF006296"/>
      </top>
      <bottom/>
      <diagonal/>
    </border>
    <border>
      <left/>
      <right/>
      <top style="thin">
        <color rgb="FF006296"/>
      </top>
      <bottom style="thin">
        <color rgb="FF231F20"/>
      </bottom>
      <diagonal/>
    </border>
    <border>
      <left/>
      <right/>
      <top style="thin">
        <color rgb="FF231F20"/>
      </top>
      <bottom/>
      <diagonal/>
    </border>
    <border>
      <left/>
      <right/>
      <top/>
      <bottom style="thin">
        <color rgb="FF231F20"/>
      </bottom>
      <diagonal/>
    </border>
    <border>
      <left/>
      <right/>
      <top style="thin">
        <color rgb="FF231F20"/>
      </top>
      <bottom style="thin">
        <color rgb="FF00BDF2"/>
      </bottom>
      <diagonal/>
    </border>
    <border>
      <left/>
      <right style="thin">
        <color rgb="FF00BDF2"/>
      </right>
      <top/>
      <bottom/>
      <diagonal/>
    </border>
    <border>
      <left style="thin">
        <color rgb="FF00BDF2"/>
      </left>
      <right/>
      <top style="thin">
        <color rgb="FF00BDF2"/>
      </top>
      <bottom/>
      <diagonal/>
    </border>
    <border>
      <left/>
      <right/>
      <top style="thin">
        <color rgb="FF00BDF2"/>
      </top>
      <bottom/>
      <diagonal/>
    </border>
    <border>
      <left/>
      <right style="thin">
        <color rgb="FF00BDF2"/>
      </right>
      <top style="thin">
        <color rgb="FF00BDF2"/>
      </top>
      <bottom/>
      <diagonal/>
    </border>
    <border>
      <left style="thin">
        <color rgb="FF00BDF2"/>
      </left>
      <right/>
      <top/>
      <bottom/>
      <diagonal/>
    </border>
    <border>
      <left style="thin">
        <color rgb="FF00BDF2"/>
      </left>
      <right/>
      <top/>
      <bottom style="thin">
        <color rgb="FF00BDF2"/>
      </bottom>
      <diagonal/>
    </border>
    <border>
      <left/>
      <right/>
      <top/>
      <bottom style="thin">
        <color rgb="FF00BDF2"/>
      </bottom>
      <diagonal/>
    </border>
    <border>
      <left/>
      <right style="thin">
        <color rgb="FF00BDF2"/>
      </right>
      <top/>
      <bottom style="thin">
        <color rgb="FF00BDF2"/>
      </bottom>
      <diagonal/>
    </border>
    <border>
      <left style="thin">
        <color rgb="FF00BDF2"/>
      </left>
      <right/>
      <top style="thin">
        <color rgb="FF00BDF2"/>
      </top>
      <bottom style="thin">
        <color rgb="FF00BDF2"/>
      </bottom>
      <diagonal/>
    </border>
    <border>
      <left/>
      <right style="thin">
        <color rgb="FF00BDF2"/>
      </right>
      <top style="thin">
        <color rgb="FF00BDF2"/>
      </top>
      <bottom style="thin">
        <color rgb="FF00BDF2"/>
      </bottom>
      <diagonal/>
    </border>
    <border>
      <left/>
      <right/>
      <top style="thin">
        <color rgb="FF00BDF2"/>
      </top>
      <bottom style="thin">
        <color rgb="FFBCBEC0"/>
      </bottom>
      <diagonal/>
    </border>
    <border>
      <left/>
      <right style="thin">
        <color rgb="FF00BDF2"/>
      </right>
      <top style="thin">
        <color rgb="FFBCBEC0"/>
      </top>
      <bottom style="thin">
        <color rgb="FFBCBEC0"/>
      </bottom>
      <diagonal/>
    </border>
    <border>
      <left style="thin">
        <color rgb="FF00BDF2"/>
      </left>
      <right style="thin">
        <color rgb="FF00BDF2"/>
      </right>
      <top style="thin">
        <color rgb="FF00BDF2"/>
      </top>
      <bottom style="thin">
        <color rgb="FF00BDF2"/>
      </bottom>
      <diagonal/>
    </border>
    <border>
      <left/>
      <right style="thin">
        <color rgb="FF00BDF2"/>
      </right>
      <top style="thin">
        <color rgb="FFBCBEC0"/>
      </top>
      <bottom style="thin">
        <color rgb="FF00BDF2"/>
      </bottom>
      <diagonal/>
    </border>
    <border>
      <left style="thin">
        <color rgb="FFFFFFFF"/>
      </left>
      <right/>
      <top/>
      <bottom style="thin">
        <color rgb="FFB1B3B6"/>
      </bottom>
      <diagonal/>
    </border>
    <border>
      <left/>
      <right/>
      <top style="thin">
        <color rgb="FFB1B3B6"/>
      </top>
      <bottom/>
      <diagonal/>
    </border>
    <border>
      <left style="thin">
        <color rgb="FFFFFFFF"/>
      </left>
      <right/>
      <top style="thin">
        <color rgb="FFB1B3B6"/>
      </top>
      <bottom/>
      <diagonal/>
    </border>
    <border>
      <left style="thin">
        <color rgb="FFFFFFFF"/>
      </left>
      <right/>
      <top style="thin">
        <color rgb="FF0095D5"/>
      </top>
      <bottom/>
      <diagonal/>
    </border>
    <border>
      <left style="thin">
        <color rgb="FFFFFFFF"/>
      </left>
      <right/>
      <top/>
      <bottom/>
      <diagonal/>
    </border>
    <border>
      <left style="hair">
        <color auto="1"/>
      </left>
      <right style="hair">
        <color auto="1"/>
      </right>
      <top style="hair">
        <color auto="1"/>
      </top>
      <bottom/>
      <diagonal/>
    </border>
    <border>
      <left/>
      <right/>
      <top/>
      <bottom style="thin">
        <color theme="9" tint="0.39997558519241921"/>
      </bottom>
      <diagonal/>
    </border>
    <border>
      <left/>
      <right style="thin">
        <color theme="9" tint="0.39997558519241921"/>
      </right>
      <top/>
      <bottom style="thin">
        <color theme="9" tint="0.39997558519241921"/>
      </bottom>
      <diagonal/>
    </border>
    <border>
      <left/>
      <right/>
      <top style="thin">
        <color theme="9" tint="0.39997558519241921"/>
      </top>
      <bottom/>
      <diagonal/>
    </border>
    <border>
      <left style="thin">
        <color theme="5"/>
      </left>
      <right/>
      <top style="thin">
        <color theme="9" tint="0.39997558519241921"/>
      </top>
      <bottom style="thin">
        <color theme="5"/>
      </bottom>
      <diagonal/>
    </border>
    <border>
      <left/>
      <right/>
      <top style="thin">
        <color theme="9" tint="0.39997558519241921"/>
      </top>
      <bottom style="thin">
        <color theme="5"/>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theme="4" tint="0.39997558519241921"/>
      </top>
      <bottom style="thin">
        <color theme="4" tint="0.39997558519241921"/>
      </bottom>
      <diagonal/>
    </border>
    <border>
      <left/>
      <right style="thin">
        <color auto="1"/>
      </right>
      <top style="thin">
        <color theme="4" tint="0.39997558519241921"/>
      </top>
      <bottom style="thin">
        <color theme="4" tint="0.39997558519241921"/>
      </bottom>
      <diagonal/>
    </border>
    <border>
      <left/>
      <right/>
      <top style="thin">
        <color theme="4" tint="0.39997558519241921"/>
      </top>
      <bottom style="thin">
        <color auto="1"/>
      </bottom>
      <diagonal/>
    </border>
    <border>
      <left style="thin">
        <color theme="6" tint="0.39997558519241921"/>
      </left>
      <right/>
      <top style="thin">
        <color theme="6" tint="0.39997558519241921"/>
      </top>
      <bottom style="thin">
        <color theme="6" tint="0.39997558519241921"/>
      </bottom>
      <diagonal/>
    </border>
    <border>
      <left style="thin">
        <color theme="7"/>
      </left>
      <right/>
      <top style="thin">
        <color theme="7"/>
      </top>
      <bottom/>
      <diagonal/>
    </border>
    <border>
      <left style="medium">
        <color rgb="FFDDDDDD"/>
      </left>
      <right/>
      <top/>
      <bottom style="medium">
        <color rgb="FFEEEEEE"/>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right/>
      <top/>
      <bottom style="medium">
        <color rgb="FFD9F1EC"/>
      </bottom>
      <diagonal/>
    </border>
    <border>
      <left/>
      <right/>
      <top/>
      <bottom style="medium">
        <color rgb="FFF9E6DC"/>
      </bottom>
      <diagonal/>
    </border>
    <border>
      <left/>
      <right/>
      <top/>
      <bottom style="medium">
        <color rgb="FFCECECE"/>
      </bottom>
      <diagonal/>
    </border>
    <border>
      <left/>
      <right/>
      <top/>
      <bottom style="dotted">
        <color rgb="FFE5E7EC"/>
      </bottom>
      <diagonal/>
    </border>
    <border>
      <left/>
      <right/>
      <top/>
      <bottom style="medium">
        <color rgb="FFEBEBEB"/>
      </bottom>
      <diagonal/>
    </border>
    <border>
      <left/>
      <right/>
      <top/>
      <bottom style="medium">
        <color rgb="FFD1D1D1"/>
      </bottom>
      <diagonal/>
    </border>
    <border>
      <left/>
      <right/>
      <top style="medium">
        <color rgb="FFD1D1D1"/>
      </top>
      <bottom style="medium">
        <color rgb="FFEBEBEB"/>
      </bottom>
      <diagonal/>
    </border>
    <border>
      <left/>
      <right/>
      <top style="medium">
        <color rgb="FFD1D1D1"/>
      </top>
      <bottom/>
      <diagonal/>
    </border>
    <border>
      <left/>
      <right/>
      <top/>
      <bottom style="thin">
        <color rgb="FF000000"/>
      </bottom>
      <diagonal/>
    </border>
  </borders>
  <cellStyleXfs count="3">
    <xf numFmtId="0" fontId="0" fillId="0" borderId="0"/>
    <xf numFmtId="9" fontId="59" fillId="0" borderId="0" applyFont="0" applyFill="0" applyBorder="0" applyAlignment="0" applyProtection="0"/>
    <xf numFmtId="0" fontId="70" fillId="0" borderId="0" applyNumberFormat="0" applyFill="0" applyBorder="0" applyAlignment="0" applyProtection="0"/>
  </cellStyleXfs>
  <cellXfs count="725">
    <xf numFmtId="0" fontId="0" fillId="0" borderId="0" xfId="0"/>
    <xf numFmtId="0" fontId="10" fillId="0" borderId="0" xfId="0" applyFont="1"/>
    <xf numFmtId="0" fontId="6" fillId="3" borderId="3" xfId="0" applyFont="1" applyFill="1" applyBorder="1"/>
    <xf numFmtId="0" fontId="7" fillId="3" borderId="3" xfId="0" applyFont="1" applyFill="1" applyBorder="1"/>
    <xf numFmtId="0" fontId="3" fillId="2" borderId="3" xfId="0" applyFont="1" applyFill="1" applyBorder="1"/>
    <xf numFmtId="0" fontId="3" fillId="3" borderId="3" xfId="0" applyFont="1" applyFill="1" applyBorder="1"/>
    <xf numFmtId="1" fontId="9" fillId="2" borderId="3" xfId="0" applyNumberFormat="1" applyFont="1" applyFill="1" applyBorder="1" applyAlignment="1">
      <alignment horizontal="left" vertical="top" shrinkToFit="1"/>
    </xf>
    <xf numFmtId="0" fontId="10" fillId="3" borderId="3" xfId="0" applyFont="1" applyFill="1" applyBorder="1"/>
    <xf numFmtId="0" fontId="12" fillId="0" borderId="3" xfId="0" applyFont="1" applyBorder="1"/>
    <xf numFmtId="0" fontId="0" fillId="0" borderId="3" xfId="0" applyBorder="1"/>
    <xf numFmtId="0" fontId="11" fillId="2" borderId="3" xfId="0" applyFont="1" applyFill="1" applyBorder="1"/>
    <xf numFmtId="0" fontId="3" fillId="2" borderId="3" xfId="0" applyFont="1" applyFill="1" applyBorder="1" applyAlignment="1">
      <alignment horizontal="left" wrapText="1"/>
    </xf>
    <xf numFmtId="0" fontId="4" fillId="2" borderId="3" xfId="0" applyFont="1" applyFill="1" applyBorder="1" applyAlignment="1">
      <alignment horizontal="left" wrapText="1"/>
    </xf>
    <xf numFmtId="0" fontId="5" fillId="2" borderId="3" xfId="0" applyFont="1" applyFill="1" applyBorder="1" applyAlignment="1">
      <alignment horizontal="left" wrapText="1"/>
    </xf>
    <xf numFmtId="2" fontId="5" fillId="2" borderId="3" xfId="0" applyNumberFormat="1" applyFont="1" applyFill="1" applyBorder="1" applyAlignment="1">
      <alignment horizontal="left" wrapText="1"/>
    </xf>
    <xf numFmtId="0" fontId="6" fillId="3" borderId="3" xfId="0" applyFont="1" applyFill="1" applyBorder="1" applyAlignment="1">
      <alignment vertical="center"/>
    </xf>
    <xf numFmtId="0" fontId="6" fillId="3" borderId="3" xfId="0" applyFont="1" applyFill="1" applyBorder="1" applyAlignment="1">
      <alignment vertical="top"/>
    </xf>
    <xf numFmtId="2" fontId="6" fillId="3" borderId="3" xfId="0" applyNumberFormat="1" applyFont="1" applyFill="1" applyBorder="1" applyAlignment="1">
      <alignment vertical="top"/>
    </xf>
    <xf numFmtId="0" fontId="7" fillId="3" borderId="3" xfId="0" applyFont="1" applyFill="1" applyBorder="1" applyAlignment="1">
      <alignment vertical="center"/>
    </xf>
    <xf numFmtId="0" fontId="7" fillId="3" borderId="3" xfId="0" applyFont="1" applyFill="1" applyBorder="1" applyAlignment="1">
      <alignment vertical="top"/>
    </xf>
    <xf numFmtId="2" fontId="7" fillId="3" borderId="3" xfId="0" applyNumberFormat="1" applyFont="1" applyFill="1" applyBorder="1" applyAlignment="1">
      <alignment vertical="top"/>
    </xf>
    <xf numFmtId="3" fontId="8" fillId="2" borderId="3" xfId="0" applyNumberFormat="1" applyFont="1" applyFill="1" applyBorder="1" applyAlignment="1">
      <alignment horizontal="right" vertical="center" wrapText="1"/>
    </xf>
    <xf numFmtId="3" fontId="5" fillId="2" borderId="3" xfId="0" applyNumberFormat="1" applyFont="1" applyFill="1" applyBorder="1" applyAlignment="1">
      <alignment vertical="top"/>
    </xf>
    <xf numFmtId="2" fontId="5" fillId="2" borderId="3" xfId="0" applyNumberFormat="1" applyFont="1" applyFill="1" applyBorder="1" applyAlignment="1">
      <alignment vertical="top"/>
    </xf>
    <xf numFmtId="3" fontId="9" fillId="2" borderId="3" xfId="0" applyNumberFormat="1" applyFont="1" applyFill="1" applyBorder="1" applyAlignment="1">
      <alignment vertical="top" shrinkToFit="1"/>
    </xf>
    <xf numFmtId="2" fontId="9" fillId="2" borderId="3" xfId="0" applyNumberFormat="1" applyFont="1" applyFill="1" applyBorder="1" applyAlignment="1">
      <alignment vertical="top" shrinkToFit="1"/>
    </xf>
    <xf numFmtId="0" fontId="3" fillId="2" borderId="3" xfId="0" applyFont="1" applyFill="1" applyBorder="1" applyAlignment="1">
      <alignment horizontal="left" vertical="center" wrapText="1"/>
    </xf>
    <xf numFmtId="0" fontId="5" fillId="2" borderId="3" xfId="0" applyFont="1" applyFill="1" applyBorder="1" applyAlignment="1">
      <alignment vertical="top"/>
    </xf>
    <xf numFmtId="164" fontId="9" fillId="2" borderId="3" xfId="0" applyNumberFormat="1" applyFont="1" applyFill="1" applyBorder="1" applyAlignment="1">
      <alignment vertical="top" shrinkToFit="1"/>
    </xf>
    <xf numFmtId="3" fontId="7" fillId="3" borderId="3" xfId="0" applyNumberFormat="1" applyFont="1" applyFill="1" applyBorder="1" applyAlignment="1">
      <alignment horizontal="right" vertical="center" wrapText="1"/>
    </xf>
    <xf numFmtId="3" fontId="7" fillId="3" borderId="3" xfId="0" applyNumberFormat="1" applyFont="1" applyFill="1" applyBorder="1" applyAlignment="1">
      <alignment vertical="top"/>
    </xf>
    <xf numFmtId="0" fontId="6" fillId="3" borderId="3" xfId="0" applyFont="1" applyFill="1" applyBorder="1" applyAlignment="1">
      <alignment horizontal="left" vertical="center" wrapText="1"/>
    </xf>
    <xf numFmtId="0" fontId="8" fillId="2" borderId="3" xfId="0" applyFont="1" applyFill="1" applyBorder="1" applyAlignment="1">
      <alignment horizontal="right" vertical="center" wrapText="1"/>
    </xf>
    <xf numFmtId="1" fontId="9" fillId="2" borderId="3" xfId="0" applyNumberFormat="1" applyFont="1" applyFill="1" applyBorder="1" applyAlignment="1">
      <alignment vertical="top" shrinkToFit="1"/>
    </xf>
    <xf numFmtId="2" fontId="3" fillId="2" borderId="3" xfId="0" applyNumberFormat="1" applyFont="1" applyFill="1" applyBorder="1"/>
    <xf numFmtId="3" fontId="6" fillId="3" borderId="3" xfId="0" applyNumberFormat="1" applyFont="1" applyFill="1" applyBorder="1" applyAlignment="1">
      <alignment horizontal="right" vertical="center" wrapText="1"/>
    </xf>
    <xf numFmtId="3" fontId="6" fillId="3" borderId="3" xfId="0" applyNumberFormat="1" applyFont="1" applyFill="1" applyBorder="1" applyAlignment="1">
      <alignment vertical="top"/>
    </xf>
    <xf numFmtId="2" fontId="6" fillId="3" borderId="3" xfId="0" applyNumberFormat="1" applyFont="1" applyFill="1" applyBorder="1"/>
    <xf numFmtId="0" fontId="7" fillId="3" borderId="3" xfId="0" applyFont="1" applyFill="1" applyBorder="1" applyAlignment="1">
      <alignment horizontal="left" vertical="center" wrapText="1"/>
    </xf>
    <xf numFmtId="2" fontId="7" fillId="3" borderId="3" xfId="0" applyNumberFormat="1" applyFont="1" applyFill="1" applyBorder="1"/>
    <xf numFmtId="0" fontId="10" fillId="3" borderId="3" xfId="0" applyFont="1" applyFill="1" applyBorder="1" applyAlignment="1">
      <alignment horizontal="left" vertical="center" wrapText="1"/>
    </xf>
    <xf numFmtId="2" fontId="10" fillId="3" borderId="3" xfId="0" applyNumberFormat="1" applyFont="1" applyFill="1" applyBorder="1"/>
    <xf numFmtId="0" fontId="10" fillId="2" borderId="3" xfId="0" applyFont="1" applyFill="1" applyBorder="1"/>
    <xf numFmtId="0" fontId="14" fillId="3" borderId="0" xfId="0" applyFont="1" applyFill="1"/>
    <xf numFmtId="0" fontId="15" fillId="3" borderId="0" xfId="0" applyFont="1" applyFill="1"/>
    <xf numFmtId="0" fontId="15" fillId="0" borderId="0" xfId="0" applyFont="1"/>
    <xf numFmtId="0" fontId="18" fillId="2" borderId="0" xfId="0" applyFont="1" applyFill="1"/>
    <xf numFmtId="0" fontId="13" fillId="3" borderId="0" xfId="0" applyFont="1" applyFill="1"/>
    <xf numFmtId="0" fontId="24" fillId="3" borderId="0" xfId="0" applyFont="1" applyFill="1"/>
    <xf numFmtId="0" fontId="25" fillId="3" borderId="0" xfId="0" applyFont="1" applyFill="1"/>
    <xf numFmtId="0" fontId="24" fillId="0" borderId="0" xfId="0" applyFont="1"/>
    <xf numFmtId="0" fontId="6" fillId="3" borderId="3" xfId="0" applyFont="1" applyFill="1" applyBorder="1" applyAlignment="1">
      <alignment vertical="center" wrapText="1"/>
    </xf>
    <xf numFmtId="0" fontId="18" fillId="3" borderId="0" xfId="0" applyFont="1" applyFill="1"/>
    <xf numFmtId="0" fontId="26" fillId="0" borderId="0" xfId="0" applyFont="1"/>
    <xf numFmtId="0" fontId="27" fillId="4" borderId="3" xfId="0" applyFont="1" applyFill="1" applyBorder="1"/>
    <xf numFmtId="0" fontId="16" fillId="3" borderId="3" xfId="0" applyFont="1" applyFill="1" applyBorder="1" applyAlignment="1">
      <alignment horizontal="left" vertical="center" wrapText="1"/>
    </xf>
    <xf numFmtId="0" fontId="17" fillId="3" borderId="3" xfId="0" applyFont="1" applyFill="1" applyBorder="1" applyAlignment="1">
      <alignment vertical="top"/>
    </xf>
    <xf numFmtId="3" fontId="19" fillId="2" borderId="3" xfId="0" applyNumberFormat="1" applyFont="1" applyFill="1" applyBorder="1" applyAlignment="1">
      <alignment horizontal="right" vertical="center" wrapText="1"/>
    </xf>
    <xf numFmtId="3" fontId="20" fillId="2" borderId="3" xfId="0" applyNumberFormat="1" applyFont="1" applyFill="1" applyBorder="1" applyAlignment="1">
      <alignment vertical="top"/>
    </xf>
    <xf numFmtId="3" fontId="21" fillId="2" borderId="3" xfId="0" applyNumberFormat="1" applyFont="1" applyFill="1" applyBorder="1" applyAlignment="1">
      <alignment vertical="top" shrinkToFit="1"/>
    </xf>
    <xf numFmtId="3" fontId="22" fillId="3" borderId="3" xfId="0" applyNumberFormat="1" applyFont="1" applyFill="1" applyBorder="1" applyAlignment="1">
      <alignment horizontal="right" vertical="center" wrapText="1"/>
    </xf>
    <xf numFmtId="3" fontId="23" fillId="3" borderId="3" xfId="0" applyNumberFormat="1" applyFont="1" applyFill="1" applyBorder="1" applyAlignment="1">
      <alignment vertical="top"/>
    </xf>
    <xf numFmtId="0" fontId="18" fillId="3" borderId="3" xfId="0" applyFont="1" applyFill="1" applyBorder="1" applyAlignment="1">
      <alignment horizontal="left" vertical="center" wrapText="1"/>
    </xf>
    <xf numFmtId="0" fontId="18" fillId="3" borderId="3" xfId="0" applyFont="1" applyFill="1" applyBorder="1"/>
    <xf numFmtId="165" fontId="21" fillId="2" borderId="3" xfId="0" applyNumberFormat="1" applyFont="1" applyFill="1" applyBorder="1" applyAlignment="1">
      <alignment vertical="top" shrinkToFit="1"/>
    </xf>
    <xf numFmtId="3" fontId="19" fillId="2" borderId="3" xfId="0" applyNumberFormat="1" applyFont="1" applyFill="1" applyBorder="1" applyAlignment="1">
      <alignment vertical="center"/>
    </xf>
    <xf numFmtId="0" fontId="19" fillId="2" borderId="3" xfId="0" applyFont="1" applyFill="1" applyBorder="1" applyAlignment="1">
      <alignment horizontal="right" vertical="center" wrapText="1"/>
    </xf>
    <xf numFmtId="1" fontId="21" fillId="2" borderId="3" xfId="0" applyNumberFormat="1" applyFont="1" applyFill="1" applyBorder="1" applyAlignment="1">
      <alignment vertical="top" shrinkToFit="1"/>
    </xf>
    <xf numFmtId="3" fontId="14" fillId="3" borderId="3" xfId="0" applyNumberFormat="1" applyFont="1" applyFill="1" applyBorder="1" applyAlignment="1">
      <alignment horizontal="right" vertical="center" wrapText="1"/>
    </xf>
    <xf numFmtId="3" fontId="14" fillId="3" borderId="3" xfId="0" applyNumberFormat="1" applyFont="1" applyFill="1" applyBorder="1" applyAlignment="1">
      <alignment vertical="top" shrinkToFit="1"/>
    </xf>
    <xf numFmtId="0" fontId="18" fillId="2" borderId="3" xfId="0" applyFont="1" applyFill="1" applyBorder="1" applyAlignment="1">
      <alignment horizontal="left" vertical="center" wrapText="1"/>
    </xf>
    <xf numFmtId="0" fontId="18" fillId="2" borderId="3" xfId="0" applyFont="1" applyFill="1" applyBorder="1"/>
    <xf numFmtId="166" fontId="21" fillId="2" borderId="3" xfId="0" applyNumberFormat="1" applyFont="1" applyFill="1" applyBorder="1" applyAlignment="1">
      <alignment vertical="top" shrinkToFit="1"/>
    </xf>
    <xf numFmtId="2" fontId="21" fillId="2" borderId="3" xfId="0" applyNumberFormat="1" applyFont="1" applyFill="1" applyBorder="1" applyAlignment="1">
      <alignment vertical="top" shrinkToFit="1"/>
    </xf>
    <xf numFmtId="0" fontId="0" fillId="0" borderId="0" xfId="0" applyAlignment="1">
      <alignment horizontal="left" vertical="center" wrapText="1"/>
    </xf>
    <xf numFmtId="0" fontId="0" fillId="0" borderId="9" xfId="0" applyBorder="1" applyAlignment="1">
      <alignment vertical="center" wrapText="1"/>
    </xf>
    <xf numFmtId="0" fontId="40" fillId="0" borderId="2" xfId="0" applyFont="1" applyBorder="1" applyAlignment="1">
      <alignment horizontal="left" vertical="top"/>
    </xf>
    <xf numFmtId="3" fontId="40" fillId="0" borderId="2" xfId="0" applyNumberFormat="1" applyFont="1" applyBorder="1" applyAlignment="1">
      <alignment horizontal="left" vertical="top"/>
    </xf>
    <xf numFmtId="0" fontId="41" fillId="0" borderId="2" xfId="0" applyFont="1" applyBorder="1" applyAlignment="1">
      <alignment horizontal="left" vertical="top"/>
    </xf>
    <xf numFmtId="3" fontId="41" fillId="0" borderId="2" xfId="0" applyNumberFormat="1" applyFont="1" applyBorder="1" applyAlignment="1">
      <alignment horizontal="left" vertical="top"/>
    </xf>
    <xf numFmtId="0" fontId="42" fillId="0" borderId="1" xfId="0" applyFont="1" applyBorder="1" applyAlignment="1">
      <alignment horizontal="left" vertical="top"/>
    </xf>
    <xf numFmtId="0" fontId="42" fillId="0" borderId="2" xfId="0" applyFont="1" applyBorder="1" applyAlignment="1">
      <alignment horizontal="left" vertical="top"/>
    </xf>
    <xf numFmtId="0" fontId="42" fillId="0" borderId="2" xfId="0" applyFont="1" applyBorder="1" applyAlignment="1">
      <alignment horizontal="left" vertical="top" wrapText="1"/>
    </xf>
    <xf numFmtId="0" fontId="42" fillId="0" borderId="2" xfId="0" applyFont="1" applyBorder="1"/>
    <xf numFmtId="4" fontId="42" fillId="0" borderId="2" xfId="0" applyNumberFormat="1" applyFont="1" applyBorder="1" applyAlignment="1">
      <alignment horizontal="left" vertical="top"/>
    </xf>
    <xf numFmtId="3" fontId="42" fillId="0" borderId="2" xfId="0" applyNumberFormat="1" applyFont="1" applyBorder="1" applyAlignment="1">
      <alignment horizontal="left" vertical="top"/>
    </xf>
    <xf numFmtId="3" fontId="43" fillId="0" borderId="12" xfId="0" applyNumberFormat="1" applyFont="1" applyBorder="1" applyAlignment="1">
      <alignment horizontal="right" vertical="top" shrinkToFit="1"/>
    </xf>
    <xf numFmtId="0" fontId="31" fillId="0" borderId="12" xfId="0" applyFont="1" applyBorder="1" applyAlignment="1">
      <alignment vertical="top" wrapText="1"/>
    </xf>
    <xf numFmtId="0" fontId="31" fillId="0" borderId="12" xfId="0" applyFont="1" applyBorder="1" applyAlignment="1">
      <alignment horizontal="right" vertical="top" wrapText="1"/>
    </xf>
    <xf numFmtId="165" fontId="43" fillId="0" borderId="12" xfId="0" applyNumberFormat="1" applyFont="1" applyBorder="1" applyAlignment="1">
      <alignment vertical="top" shrinkToFit="1"/>
    </xf>
    <xf numFmtId="1" fontId="43" fillId="0" borderId="12" xfId="0" applyNumberFormat="1" applyFont="1" applyBorder="1" applyAlignment="1">
      <alignment horizontal="right" vertical="top" shrinkToFit="1"/>
    </xf>
    <xf numFmtId="1" fontId="43" fillId="0" borderId="12" xfId="0" applyNumberFormat="1" applyFont="1" applyBorder="1" applyAlignment="1">
      <alignment vertical="top" shrinkToFit="1"/>
    </xf>
    <xf numFmtId="3" fontId="42" fillId="0" borderId="2" xfId="0" applyNumberFormat="1" applyFont="1" applyBorder="1"/>
    <xf numFmtId="3" fontId="43" fillId="0" borderId="12" xfId="0" applyNumberFormat="1" applyFont="1" applyBorder="1" applyAlignment="1">
      <alignment vertical="top" shrinkToFit="1"/>
    </xf>
    <xf numFmtId="166" fontId="43" fillId="0" borderId="12" xfId="0" applyNumberFormat="1" applyFont="1" applyBorder="1" applyAlignment="1">
      <alignment vertical="top" shrinkToFit="1"/>
    </xf>
    <xf numFmtId="0" fontId="10" fillId="0" borderId="12" xfId="0" applyFont="1" applyBorder="1" applyAlignment="1">
      <alignment horizontal="right" vertical="top" wrapText="1"/>
    </xf>
    <xf numFmtId="3" fontId="31" fillId="0" borderId="12" xfId="0" applyNumberFormat="1" applyFont="1" applyBorder="1" applyAlignment="1">
      <alignment vertical="top" wrapText="1"/>
    </xf>
    <xf numFmtId="3" fontId="31" fillId="0" borderId="12" xfId="0" applyNumberFormat="1" applyFont="1" applyBorder="1" applyAlignment="1">
      <alignment horizontal="right" vertical="top" wrapText="1"/>
    </xf>
    <xf numFmtId="165" fontId="43" fillId="0" borderId="12" xfId="0" applyNumberFormat="1" applyFont="1" applyBorder="1" applyAlignment="1">
      <alignment horizontal="right" vertical="top" shrinkToFit="1"/>
    </xf>
    <xf numFmtId="3" fontId="31" fillId="0" borderId="13" xfId="0" applyNumberFormat="1" applyFont="1" applyBorder="1" applyAlignment="1">
      <alignment horizontal="right" vertical="top" wrapText="1"/>
    </xf>
    <xf numFmtId="0" fontId="31" fillId="0" borderId="13" xfId="0" applyFont="1" applyBorder="1" applyAlignment="1">
      <alignment horizontal="right" vertical="top" wrapText="1"/>
    </xf>
    <xf numFmtId="0" fontId="31" fillId="0" borderId="13" xfId="0" applyFont="1" applyBorder="1" applyAlignment="1">
      <alignment vertical="top" wrapText="1"/>
    </xf>
    <xf numFmtId="3" fontId="31" fillId="0" borderId="13" xfId="0" applyNumberFormat="1" applyFont="1" applyBorder="1" applyAlignment="1">
      <alignment vertical="top" wrapText="1"/>
    </xf>
    <xf numFmtId="1" fontId="10" fillId="0" borderId="0" xfId="0" applyNumberFormat="1" applyFont="1"/>
    <xf numFmtId="3" fontId="39" fillId="0" borderId="22" xfId="0" applyNumberFormat="1" applyFont="1" applyBorder="1" applyAlignment="1">
      <alignment horizontal="right" vertical="top" shrinkToFit="1"/>
    </xf>
    <xf numFmtId="3" fontId="38" fillId="0" borderId="22" xfId="0" applyNumberFormat="1" applyFont="1" applyBorder="1" applyAlignment="1">
      <alignment horizontal="right" vertical="top" wrapText="1"/>
    </xf>
    <xf numFmtId="1" fontId="39" fillId="0" borderId="22" xfId="0" applyNumberFormat="1" applyFont="1" applyBorder="1" applyAlignment="1">
      <alignment horizontal="right" vertical="top" shrinkToFit="1"/>
    </xf>
    <xf numFmtId="3" fontId="39" fillId="0" borderId="24" xfId="0" applyNumberFormat="1" applyFont="1" applyBorder="1" applyAlignment="1">
      <alignment horizontal="right" vertical="top" shrinkToFit="1"/>
    </xf>
    <xf numFmtId="0" fontId="41" fillId="0" borderId="11" xfId="0" applyFont="1" applyBorder="1" applyAlignment="1">
      <alignment horizontal="left" vertical="top"/>
    </xf>
    <xf numFmtId="3" fontId="41" fillId="0" borderId="11" xfId="0" applyNumberFormat="1" applyFont="1" applyBorder="1" applyAlignment="1">
      <alignment horizontal="left" vertical="top"/>
    </xf>
    <xf numFmtId="0" fontId="28" fillId="0" borderId="0" xfId="0" applyFont="1" applyAlignment="1">
      <alignment vertical="top" wrapText="1"/>
    </xf>
    <xf numFmtId="3" fontId="28" fillId="0" borderId="31" xfId="0" applyNumberFormat="1" applyFont="1" applyBorder="1" applyAlignment="1">
      <alignment vertical="top" wrapText="1"/>
    </xf>
    <xf numFmtId="3" fontId="29" fillId="0" borderId="0" xfId="0" applyNumberFormat="1" applyFont="1" applyAlignment="1">
      <alignment vertical="top" shrinkToFit="1"/>
    </xf>
    <xf numFmtId="0" fontId="47" fillId="0" borderId="44" xfId="0" applyFont="1" applyBorder="1" applyAlignment="1">
      <alignment vertical="top" wrapText="1"/>
    </xf>
    <xf numFmtId="0" fontId="47" fillId="0" borderId="9" xfId="0" applyFont="1" applyBorder="1" applyAlignment="1">
      <alignment horizontal="right" wrapText="1"/>
    </xf>
    <xf numFmtId="0" fontId="48" fillId="0" borderId="9" xfId="0" applyFont="1" applyBorder="1" applyAlignment="1">
      <alignment horizontal="left" vertical="top"/>
    </xf>
    <xf numFmtId="0" fontId="49" fillId="0" borderId="9" xfId="0" applyFont="1" applyBorder="1" applyAlignment="1">
      <alignment horizontal="left" vertical="top"/>
    </xf>
    <xf numFmtId="0" fontId="35" fillId="0" borderId="5" xfId="0" applyFont="1" applyBorder="1" applyAlignment="1">
      <alignment vertical="top" wrapText="1"/>
    </xf>
    <xf numFmtId="0" fontId="0" fillId="0" borderId="22" xfId="0" applyBorder="1" applyAlignment="1">
      <alignment wrapText="1"/>
    </xf>
    <xf numFmtId="0" fontId="0" fillId="0" borderId="22" xfId="0" applyBorder="1" applyAlignment="1">
      <alignment horizontal="right" wrapText="1"/>
    </xf>
    <xf numFmtId="0" fontId="0" fillId="0" borderId="0" xfId="0" applyAlignment="1">
      <alignment horizontal="left" vertical="top"/>
    </xf>
    <xf numFmtId="0" fontId="45" fillId="0" borderId="5" xfId="0" applyFont="1" applyBorder="1" applyAlignment="1">
      <alignment vertical="top" wrapText="1"/>
    </xf>
    <xf numFmtId="0" fontId="34" fillId="0" borderId="45" xfId="0" applyFont="1" applyBorder="1" applyAlignment="1">
      <alignment vertical="top" wrapText="1"/>
    </xf>
    <xf numFmtId="3" fontId="34" fillId="0" borderId="22" xfId="0" applyNumberFormat="1" applyFont="1" applyBorder="1" applyAlignment="1">
      <alignment vertical="top" wrapText="1"/>
    </xf>
    <xf numFmtId="0" fontId="34" fillId="0" borderId="46" xfId="0" applyFont="1" applyBorder="1" applyAlignment="1">
      <alignment horizontal="right" wrapText="1"/>
    </xf>
    <xf numFmtId="0" fontId="0" fillId="0" borderId="0" xfId="0" applyAlignment="1">
      <alignment vertical="center" wrapText="1"/>
    </xf>
    <xf numFmtId="0" fontId="33" fillId="0" borderId="48" xfId="0" applyFont="1" applyBorder="1" applyAlignment="1">
      <alignment vertical="top" wrapText="1"/>
    </xf>
    <xf numFmtId="0" fontId="33" fillId="0" borderId="9" xfId="0" applyFont="1" applyBorder="1" applyAlignment="1">
      <alignment vertical="top" wrapText="1"/>
    </xf>
    <xf numFmtId="0" fontId="0" fillId="0" borderId="3" xfId="0" applyBorder="1" applyAlignment="1">
      <alignment vertical="top" wrapText="1"/>
    </xf>
    <xf numFmtId="0" fontId="0" fillId="0" borderId="3" xfId="0" applyBorder="1" applyAlignment="1">
      <alignment horizontal="right" wrapText="1"/>
    </xf>
    <xf numFmtId="0" fontId="0" fillId="0" borderId="4" xfId="0" applyBorder="1" applyAlignment="1">
      <alignment horizontal="right" wrapText="1"/>
    </xf>
    <xf numFmtId="0" fontId="0" fillId="0" borderId="4" xfId="0" applyBorder="1" applyAlignment="1">
      <alignment horizontal="right" vertical="top"/>
    </xf>
    <xf numFmtId="0" fontId="0" fillId="0" borderId="3" xfId="0" applyBorder="1" applyAlignment="1">
      <alignment horizontal="right" vertical="top"/>
    </xf>
    <xf numFmtId="0" fontId="50" fillId="0" borderId="0" xfId="0" applyFont="1" applyAlignment="1">
      <alignment horizontal="left" vertical="top"/>
    </xf>
    <xf numFmtId="0" fontId="54" fillId="0" borderId="3" xfId="0" applyFont="1" applyBorder="1" applyAlignment="1">
      <alignment vertical="top" wrapText="1"/>
    </xf>
    <xf numFmtId="1" fontId="54" fillId="0" borderId="3" xfId="0" applyNumberFormat="1" applyFont="1" applyBorder="1" applyAlignment="1">
      <alignment horizontal="right" vertical="top" shrinkToFit="1"/>
    </xf>
    <xf numFmtId="0" fontId="3" fillId="0" borderId="3" xfId="0" applyFont="1" applyBorder="1" applyAlignment="1">
      <alignment horizontal="right" vertical="top"/>
    </xf>
    <xf numFmtId="3" fontId="54" fillId="0" borderId="3" xfId="0" applyNumberFormat="1" applyFont="1" applyBorder="1" applyAlignment="1">
      <alignment horizontal="right" vertical="top" shrinkToFit="1"/>
    </xf>
    <xf numFmtId="0" fontId="20" fillId="0" borderId="3" xfId="0" applyFont="1" applyBorder="1" applyAlignment="1">
      <alignment vertical="top" wrapText="1"/>
    </xf>
    <xf numFmtId="0" fontId="55" fillId="0" borderId="3" xfId="0" applyFont="1" applyBorder="1" applyAlignment="1">
      <alignment wrapText="1"/>
    </xf>
    <xf numFmtId="3" fontId="56" fillId="0" borderId="3" xfId="0" applyNumberFormat="1" applyFont="1" applyBorder="1" applyAlignment="1">
      <alignment horizontal="right" vertical="top" shrinkToFit="1"/>
    </xf>
    <xf numFmtId="0" fontId="55" fillId="0" borderId="3" xfId="0" applyFont="1" applyBorder="1" applyAlignment="1">
      <alignment horizontal="right" wrapText="1"/>
    </xf>
    <xf numFmtId="0" fontId="57" fillId="0" borderId="3" xfId="0" applyFont="1" applyBorder="1" applyAlignment="1">
      <alignment vertical="top" wrapText="1"/>
    </xf>
    <xf numFmtId="1" fontId="56" fillId="0" borderId="3" xfId="0" applyNumberFormat="1" applyFont="1" applyBorder="1" applyAlignment="1">
      <alignment horizontal="right" vertical="top" shrinkToFit="1"/>
    </xf>
    <xf numFmtId="166" fontId="56" fillId="0" borderId="3" xfId="0" applyNumberFormat="1" applyFont="1" applyBorder="1" applyAlignment="1">
      <alignment horizontal="right" vertical="top" shrinkToFit="1"/>
    </xf>
    <xf numFmtId="3" fontId="56" fillId="0" borderId="49" xfId="0" applyNumberFormat="1" applyFont="1" applyBorder="1" applyAlignment="1">
      <alignment horizontal="right" vertical="top" shrinkToFit="1"/>
    </xf>
    <xf numFmtId="0" fontId="3" fillId="0" borderId="49" xfId="0" applyFont="1" applyBorder="1" applyAlignment="1">
      <alignment horizontal="right" vertical="top"/>
    </xf>
    <xf numFmtId="0" fontId="52" fillId="0" borderId="0" xfId="0" applyFont="1" applyAlignment="1">
      <alignment horizontal="right" vertical="top"/>
    </xf>
    <xf numFmtId="3" fontId="28" fillId="0" borderId="32" xfId="0" applyNumberFormat="1" applyFont="1" applyBorder="1" applyAlignment="1">
      <alignment vertical="top" wrapText="1"/>
    </xf>
    <xf numFmtId="0" fontId="38" fillId="0" borderId="0" xfId="0" applyFont="1" applyAlignment="1">
      <alignment vertical="top" wrapText="1"/>
    </xf>
    <xf numFmtId="3" fontId="29" fillId="0" borderId="34" xfId="0" applyNumberFormat="1" applyFont="1" applyBorder="1" applyAlignment="1">
      <alignment vertical="top" shrinkToFit="1"/>
    </xf>
    <xf numFmtId="3" fontId="28" fillId="0" borderId="0" xfId="0" applyNumberFormat="1" applyFont="1" applyAlignment="1">
      <alignment vertical="top" wrapText="1"/>
    </xf>
    <xf numFmtId="0" fontId="38" fillId="0" borderId="9" xfId="0" applyFont="1" applyBorder="1" applyAlignment="1">
      <alignment vertical="top" wrapText="1"/>
    </xf>
    <xf numFmtId="3" fontId="29" fillId="0" borderId="36" xfId="0" applyNumberFormat="1" applyFont="1" applyBorder="1" applyAlignment="1">
      <alignment vertical="top" shrinkToFit="1"/>
    </xf>
    <xf numFmtId="0" fontId="36" fillId="0" borderId="45" xfId="0" applyFont="1" applyBorder="1" applyAlignment="1">
      <alignment vertical="top" wrapText="1"/>
    </xf>
    <xf numFmtId="3" fontId="36" fillId="0" borderId="47" xfId="0" applyNumberFormat="1" applyFont="1" applyBorder="1" applyAlignment="1">
      <alignment vertical="top" wrapText="1"/>
    </xf>
    <xf numFmtId="3" fontId="36" fillId="0" borderId="47" xfId="0" applyNumberFormat="1" applyFont="1" applyBorder="1" applyAlignment="1">
      <alignment horizontal="right" vertical="center" wrapText="1"/>
    </xf>
    <xf numFmtId="0" fontId="53" fillId="0" borderId="0" xfId="0" applyFont="1" applyAlignment="1">
      <alignment horizontal="right" vertical="top"/>
    </xf>
    <xf numFmtId="3" fontId="40" fillId="0" borderId="2" xfId="0" applyNumberFormat="1" applyFont="1" applyBorder="1" applyAlignment="1">
      <alignment horizontal="right" vertical="top"/>
    </xf>
    <xf numFmtId="0" fontId="40" fillId="0" borderId="2" xfId="0" applyFont="1" applyBorder="1" applyAlignment="1">
      <alignment horizontal="right" vertical="top"/>
    </xf>
    <xf numFmtId="3" fontId="41" fillId="0" borderId="2" xfId="0" applyNumberFormat="1" applyFont="1" applyBorder="1" applyAlignment="1">
      <alignment horizontal="right" vertical="top"/>
    </xf>
    <xf numFmtId="0" fontId="41" fillId="0" borderId="2" xfId="0" applyFont="1" applyBorder="1" applyAlignment="1">
      <alignment horizontal="right" vertical="top"/>
    </xf>
    <xf numFmtId="0" fontId="41" fillId="0" borderId="50" xfId="0" applyFont="1" applyBorder="1" applyAlignment="1">
      <alignment horizontal="left" vertical="top"/>
    </xf>
    <xf numFmtId="0" fontId="41" fillId="0" borderId="51" xfId="0" applyFont="1" applyBorder="1" applyAlignment="1">
      <alignment horizontal="left" vertical="top"/>
    </xf>
    <xf numFmtId="0" fontId="64" fillId="0" borderId="2" xfId="0" applyFont="1" applyBorder="1" applyAlignment="1">
      <alignment horizontal="left" vertical="top"/>
    </xf>
    <xf numFmtId="0" fontId="63" fillId="0" borderId="2" xfId="0" applyFont="1" applyBorder="1" applyAlignment="1">
      <alignment horizontal="left" vertical="top" wrapText="1"/>
    </xf>
    <xf numFmtId="0" fontId="61" fillId="0" borderId="2" xfId="0" applyFont="1" applyBorder="1" applyAlignment="1">
      <alignment horizontal="left" vertical="top" wrapText="1"/>
    </xf>
    <xf numFmtId="0" fontId="61" fillId="0" borderId="2" xfId="0" applyFont="1" applyBorder="1" applyAlignment="1">
      <alignment wrapText="1"/>
    </xf>
    <xf numFmtId="0" fontId="62" fillId="0" borderId="14" xfId="0" applyFont="1" applyBorder="1" applyAlignment="1">
      <alignment vertical="top" wrapText="1"/>
    </xf>
    <xf numFmtId="0" fontId="65" fillId="0" borderId="14" xfId="0" applyFont="1" applyBorder="1" applyAlignment="1">
      <alignment horizontal="right" vertical="center" wrapText="1"/>
    </xf>
    <xf numFmtId="0" fontId="65" fillId="0" borderId="14" xfId="0" applyFont="1" applyBorder="1" applyAlignment="1">
      <alignment vertical="top" wrapText="1"/>
    </xf>
    <xf numFmtId="0" fontId="62" fillId="0" borderId="14" xfId="0" applyFont="1" applyBorder="1" applyAlignment="1">
      <alignment horizontal="right" vertical="top" wrapText="1"/>
    </xf>
    <xf numFmtId="3" fontId="10" fillId="0" borderId="12" xfId="0" applyNumberFormat="1" applyFont="1" applyBorder="1" applyAlignment="1">
      <alignment vertical="top" wrapText="1"/>
    </xf>
    <xf numFmtId="3" fontId="10" fillId="0" borderId="13" xfId="0" applyNumberFormat="1" applyFont="1" applyBorder="1" applyAlignment="1">
      <alignment vertical="top" wrapText="1"/>
    </xf>
    <xf numFmtId="0" fontId="42" fillId="0" borderId="52" xfId="0" applyFont="1" applyBorder="1" applyAlignment="1">
      <alignment horizontal="left" vertical="top"/>
    </xf>
    <xf numFmtId="4" fontId="42" fillId="0" borderId="52" xfId="0" applyNumberFormat="1" applyFont="1" applyBorder="1" applyAlignment="1">
      <alignment horizontal="left" vertical="top"/>
    </xf>
    <xf numFmtId="0" fontId="42" fillId="0" borderId="53" xfId="0" applyFont="1" applyBorder="1" applyAlignment="1">
      <alignment horizontal="left" vertical="top"/>
    </xf>
    <xf numFmtId="0" fontId="42" fillId="0" borderId="54" xfId="0" applyFont="1" applyBorder="1" applyAlignment="1">
      <alignment horizontal="left" vertical="top"/>
    </xf>
    <xf numFmtId="3" fontId="10" fillId="0" borderId="0" xfId="0" applyNumberFormat="1" applyFont="1"/>
    <xf numFmtId="0" fontId="2" fillId="0" borderId="0" xfId="0" applyFont="1"/>
    <xf numFmtId="3" fontId="0" fillId="0" borderId="0" xfId="0" applyNumberFormat="1"/>
    <xf numFmtId="3" fontId="2" fillId="0" borderId="0" xfId="0" applyNumberFormat="1" applyFont="1"/>
    <xf numFmtId="9" fontId="0" fillId="0" borderId="0" xfId="1" applyFont="1"/>
    <xf numFmtId="3" fontId="66" fillId="0" borderId="0" xfId="0" applyNumberFormat="1" applyFont="1"/>
    <xf numFmtId="9" fontId="66" fillId="0" borderId="0" xfId="1" applyFont="1"/>
    <xf numFmtId="0" fontId="2" fillId="0" borderId="0" xfId="0" applyFont="1" applyAlignment="1">
      <alignment wrapText="1"/>
    </xf>
    <xf numFmtId="0" fontId="60" fillId="11" borderId="0" xfId="0" applyFont="1" applyFill="1"/>
    <xf numFmtId="0" fontId="30" fillId="0" borderId="0" xfId="0" applyFont="1"/>
    <xf numFmtId="9" fontId="30" fillId="0" borderId="0" xfId="1" applyFont="1"/>
    <xf numFmtId="9" fontId="0" fillId="0" borderId="0" xfId="0" applyNumberFormat="1"/>
    <xf numFmtId="0" fontId="70" fillId="0" borderId="0" xfId="2"/>
    <xf numFmtId="0" fontId="71" fillId="0" borderId="0" xfId="0" applyFont="1"/>
    <xf numFmtId="0" fontId="72" fillId="0" borderId="0" xfId="2" applyFont="1"/>
    <xf numFmtId="0" fontId="70" fillId="0" borderId="0" xfId="2" applyBorder="1"/>
    <xf numFmtId="10" fontId="0" fillId="0" borderId="0" xfId="1" applyNumberFormat="1" applyFont="1"/>
    <xf numFmtId="0" fontId="75" fillId="0" borderId="0" xfId="0" applyFont="1" applyAlignment="1">
      <alignment horizontal="center"/>
    </xf>
    <xf numFmtId="10" fontId="0" fillId="0" borderId="0" xfId="0" applyNumberFormat="1"/>
    <xf numFmtId="9" fontId="0" fillId="0" borderId="0" xfId="0" applyNumberFormat="1" applyAlignment="1">
      <alignment horizontal="left"/>
    </xf>
    <xf numFmtId="0" fontId="0" fillId="0" borderId="0" xfId="0" applyAlignment="1">
      <alignment horizontal="left"/>
    </xf>
    <xf numFmtId="0" fontId="73" fillId="14" borderId="56" xfId="0" applyFont="1" applyFill="1" applyBorder="1"/>
    <xf numFmtId="0" fontId="1" fillId="0" borderId="0" xfId="0" applyFont="1"/>
    <xf numFmtId="0" fontId="0" fillId="0" borderId="61" xfId="0" applyBorder="1"/>
    <xf numFmtId="0" fontId="0" fillId="0" borderId="62" xfId="0" applyBorder="1"/>
    <xf numFmtId="0" fontId="10" fillId="0" borderId="61" xfId="0" applyFont="1" applyBorder="1"/>
    <xf numFmtId="0" fontId="2" fillId="0" borderId="61" xfId="0" applyFont="1" applyBorder="1"/>
    <xf numFmtId="10" fontId="0" fillId="0" borderId="0" xfId="1" applyNumberFormat="1" applyFont="1" applyBorder="1"/>
    <xf numFmtId="0" fontId="76" fillId="0" borderId="61" xfId="0" applyFont="1" applyBorder="1"/>
    <xf numFmtId="10" fontId="2" fillId="0" borderId="0" xfId="0" applyNumberFormat="1" applyFont="1"/>
    <xf numFmtId="0" fontId="2" fillId="0" borderId="61" xfId="0" applyFont="1" applyBorder="1" applyAlignment="1">
      <alignment horizontal="left"/>
    </xf>
    <xf numFmtId="9" fontId="2" fillId="0" borderId="0" xfId="0" applyNumberFormat="1" applyFont="1"/>
    <xf numFmtId="168" fontId="2" fillId="0" borderId="0" xfId="1" applyNumberFormat="1" applyFont="1" applyBorder="1"/>
    <xf numFmtId="0" fontId="1" fillId="0" borderId="61" xfId="0" applyFont="1" applyBorder="1" applyAlignment="1">
      <alignment horizontal="left"/>
    </xf>
    <xf numFmtId="0" fontId="30" fillId="0" borderId="62" xfId="0" applyFont="1" applyBorder="1" applyAlignment="1">
      <alignment horizontal="left"/>
    </xf>
    <xf numFmtId="0" fontId="1" fillId="0" borderId="63" xfId="0" applyFont="1" applyBorder="1"/>
    <xf numFmtId="0" fontId="30" fillId="0" borderId="64" xfId="0" applyFont="1" applyBorder="1"/>
    <xf numFmtId="9" fontId="30" fillId="0" borderId="64" xfId="0" applyNumberFormat="1" applyFont="1" applyBorder="1"/>
    <xf numFmtId="10" fontId="73" fillId="14" borderId="66" xfId="1" applyNumberFormat="1" applyFont="1" applyFill="1" applyBorder="1"/>
    <xf numFmtId="10" fontId="73" fillId="14" borderId="56" xfId="1" applyNumberFormat="1" applyFont="1" applyFill="1" applyBorder="1"/>
    <xf numFmtId="10" fontId="73" fillId="14" borderId="67" xfId="1" applyNumberFormat="1" applyFont="1" applyFill="1" applyBorder="1"/>
    <xf numFmtId="3" fontId="1" fillId="15" borderId="56" xfId="0" applyNumberFormat="1" applyFont="1" applyFill="1" applyBorder="1"/>
    <xf numFmtId="0" fontId="30" fillId="0" borderId="56" xfId="0" applyFont="1" applyBorder="1"/>
    <xf numFmtId="0" fontId="30" fillId="15" borderId="56" xfId="0" applyFont="1" applyFill="1" applyBorder="1"/>
    <xf numFmtId="168" fontId="1" fillId="0" borderId="56" xfId="1" applyNumberFormat="1" applyFont="1" applyBorder="1"/>
    <xf numFmtId="0" fontId="73" fillId="14" borderId="57" xfId="0" applyFont="1" applyFill="1" applyBorder="1"/>
    <xf numFmtId="10" fontId="59" fillId="0" borderId="0" xfId="0" applyNumberFormat="1" applyFont="1"/>
    <xf numFmtId="0" fontId="59" fillId="0" borderId="0" xfId="0" applyFont="1"/>
    <xf numFmtId="10" fontId="59" fillId="0" borderId="62" xfId="0" applyNumberFormat="1" applyFont="1" applyBorder="1"/>
    <xf numFmtId="0" fontId="75" fillId="0" borderId="0" xfId="0" applyFont="1"/>
    <xf numFmtId="0" fontId="30" fillId="0" borderId="67" xfId="0" applyFont="1" applyBorder="1"/>
    <xf numFmtId="0" fontId="1" fillId="0" borderId="61" xfId="0" applyFont="1" applyBorder="1"/>
    <xf numFmtId="0" fontId="1" fillId="0" borderId="62" xfId="0" applyFont="1" applyBorder="1"/>
    <xf numFmtId="0" fontId="1" fillId="0" borderId="64" xfId="0" applyFont="1" applyBorder="1"/>
    <xf numFmtId="0" fontId="1" fillId="0" borderId="65" xfId="0" applyFont="1" applyBorder="1"/>
    <xf numFmtId="0" fontId="30" fillId="0" borderId="66" xfId="0" applyFont="1" applyBorder="1"/>
    <xf numFmtId="0" fontId="7" fillId="0" borderId="0" xfId="0" applyFont="1"/>
    <xf numFmtId="9" fontId="7" fillId="0" borderId="0" xfId="0" applyNumberFormat="1" applyFont="1"/>
    <xf numFmtId="9" fontId="77" fillId="0" borderId="0" xfId="0" applyNumberFormat="1" applyFont="1"/>
    <xf numFmtId="0" fontId="73" fillId="14" borderId="56" xfId="0" applyFont="1" applyFill="1" applyBorder="1" applyAlignment="1">
      <alignment horizontal="left"/>
    </xf>
    <xf numFmtId="0" fontId="30" fillId="15" borderId="56" xfId="0" applyFont="1" applyFill="1" applyBorder="1" applyAlignment="1">
      <alignment horizontal="left"/>
    </xf>
    <xf numFmtId="0" fontId="30" fillId="15" borderId="68" xfId="0" applyFont="1" applyFill="1" applyBorder="1"/>
    <xf numFmtId="9" fontId="30" fillId="0" borderId="64" xfId="0" applyNumberFormat="1" applyFont="1" applyBorder="1" applyAlignment="1">
      <alignment horizontal="left"/>
    </xf>
    <xf numFmtId="1" fontId="0" fillId="0" borderId="0" xfId="0" applyNumberFormat="1"/>
    <xf numFmtId="10" fontId="30" fillId="15" borderId="56" xfId="0" applyNumberFormat="1" applyFont="1" applyFill="1" applyBorder="1"/>
    <xf numFmtId="2" fontId="0" fillId="0" borderId="0" xfId="0" applyNumberFormat="1"/>
    <xf numFmtId="169" fontId="0" fillId="0" borderId="0" xfId="0" applyNumberFormat="1"/>
    <xf numFmtId="3" fontId="50" fillId="0" borderId="0" xfId="0" applyNumberFormat="1" applyFont="1" applyAlignment="1">
      <alignment horizontal="left" vertical="top"/>
    </xf>
    <xf numFmtId="3" fontId="0" fillId="0" borderId="0" xfId="0" applyNumberFormat="1" applyAlignment="1">
      <alignment horizontal="left" vertical="top"/>
    </xf>
    <xf numFmtId="0" fontId="66" fillId="0" borderId="0" xfId="0" applyFont="1" applyAlignment="1">
      <alignment horizontal="left" vertical="top"/>
    </xf>
    <xf numFmtId="10" fontId="66" fillId="0" borderId="0" xfId="1" applyNumberFormat="1" applyFont="1" applyAlignment="1">
      <alignment horizontal="left" vertical="top"/>
    </xf>
    <xf numFmtId="0" fontId="41" fillId="0" borderId="0" xfId="0" applyFont="1" applyAlignment="1">
      <alignment horizontal="left" vertical="top"/>
    </xf>
    <xf numFmtId="3" fontId="41" fillId="0" borderId="0" xfId="0" applyNumberFormat="1" applyFont="1" applyAlignment="1">
      <alignment horizontal="left" vertical="top"/>
    </xf>
    <xf numFmtId="4" fontId="0" fillId="0" borderId="0" xfId="0" applyNumberFormat="1"/>
    <xf numFmtId="0" fontId="0" fillId="0" borderId="3" xfId="0" applyBorder="1" applyAlignment="1">
      <alignment horizontal="right"/>
    </xf>
    <xf numFmtId="0" fontId="0" fillId="0" borderId="4" xfId="0" applyBorder="1" applyAlignment="1">
      <alignment horizontal="right"/>
    </xf>
    <xf numFmtId="0" fontId="0" fillId="0" borderId="49" xfId="0" applyBorder="1" applyAlignment="1">
      <alignment horizontal="right"/>
    </xf>
    <xf numFmtId="0" fontId="0" fillId="0" borderId="9" xfId="0" applyBorder="1"/>
    <xf numFmtId="3" fontId="0" fillId="0" borderId="3" xfId="0" applyNumberFormat="1" applyBorder="1" applyAlignment="1">
      <alignment horizontal="right"/>
    </xf>
    <xf numFmtId="0" fontId="2" fillId="15" borderId="55" xfId="0" applyFont="1" applyFill="1" applyBorder="1"/>
    <xf numFmtId="0" fontId="2" fillId="0" borderId="55" xfId="0" applyFont="1" applyBorder="1"/>
    <xf numFmtId="0" fontId="76" fillId="15" borderId="70" xfId="0" applyFont="1" applyFill="1" applyBorder="1"/>
    <xf numFmtId="9" fontId="30" fillId="0" borderId="0" xfId="0" applyNumberFormat="1" applyFont="1"/>
    <xf numFmtId="10" fontId="30" fillId="0" borderId="0" xfId="0" applyNumberFormat="1" applyFont="1"/>
    <xf numFmtId="0" fontId="2" fillId="17" borderId="69" xfId="0" applyFont="1" applyFill="1" applyBorder="1" applyAlignment="1">
      <alignment horizontal="left" vertical="top"/>
    </xf>
    <xf numFmtId="9" fontId="80" fillId="18" borderId="0" xfId="0" applyNumberFormat="1" applyFont="1" applyFill="1"/>
    <xf numFmtId="169" fontId="81" fillId="3" borderId="0" xfId="0" applyNumberFormat="1" applyFont="1" applyFill="1"/>
    <xf numFmtId="0" fontId="82" fillId="0" borderId="0" xfId="0" applyFont="1"/>
    <xf numFmtId="3" fontId="83" fillId="3" borderId="3" xfId="0" applyNumberFormat="1" applyFont="1" applyFill="1" applyBorder="1" applyAlignment="1">
      <alignment vertical="top"/>
    </xf>
    <xf numFmtId="2" fontId="84" fillId="2" borderId="3" xfId="0" applyNumberFormat="1" applyFont="1" applyFill="1" applyBorder="1" applyAlignment="1">
      <alignment vertical="top" shrinkToFit="1"/>
    </xf>
    <xf numFmtId="4" fontId="66" fillId="3" borderId="3" xfId="0" applyNumberFormat="1" applyFont="1" applyFill="1" applyBorder="1" applyAlignment="1">
      <alignment vertical="top"/>
    </xf>
    <xf numFmtId="3" fontId="84" fillId="0" borderId="0" xfId="0" applyNumberFormat="1" applyFont="1"/>
    <xf numFmtId="3" fontId="15" fillId="0" borderId="0" xfId="0" applyNumberFormat="1" applyFont="1"/>
    <xf numFmtId="0" fontId="2" fillId="0" borderId="3" xfId="0" applyFont="1" applyBorder="1"/>
    <xf numFmtId="0" fontId="84" fillId="0" borderId="0" xfId="0" applyFont="1"/>
    <xf numFmtId="2" fontId="84" fillId="0" borderId="0" xfId="0" applyNumberFormat="1" applyFont="1"/>
    <xf numFmtId="2" fontId="84" fillId="2" borderId="3" xfId="0" applyNumberFormat="1" applyFont="1" applyFill="1" applyBorder="1" applyAlignment="1">
      <alignment vertical="top"/>
    </xf>
    <xf numFmtId="4" fontId="84" fillId="0" borderId="0" xfId="0" applyNumberFormat="1" applyFont="1"/>
    <xf numFmtId="1" fontId="84" fillId="0" borderId="0" xfId="0" applyNumberFormat="1" applyFont="1"/>
    <xf numFmtId="0" fontId="3" fillId="0" borderId="0" xfId="0" applyFont="1"/>
    <xf numFmtId="2" fontId="10" fillId="0" borderId="0" xfId="0" applyNumberFormat="1" applyFont="1"/>
    <xf numFmtId="170" fontId="10" fillId="0" borderId="0" xfId="0" applyNumberFormat="1" applyFont="1"/>
    <xf numFmtId="0" fontId="85" fillId="15" borderId="53" xfId="0" applyFont="1" applyFill="1" applyBorder="1" applyAlignment="1">
      <alignment horizontal="left" vertical="top"/>
    </xf>
    <xf numFmtId="0" fontId="86" fillId="0" borderId="55" xfId="0" applyFont="1" applyBorder="1"/>
    <xf numFmtId="0" fontId="86" fillId="15" borderId="55" xfId="0" applyFont="1" applyFill="1" applyBorder="1"/>
    <xf numFmtId="0" fontId="87" fillId="2" borderId="3" xfId="0" applyFont="1" applyFill="1" applyBorder="1"/>
    <xf numFmtId="0" fontId="87" fillId="0" borderId="0" xfId="0" applyFont="1"/>
    <xf numFmtId="0" fontId="87" fillId="2" borderId="0" xfId="0" applyFont="1" applyFill="1"/>
    <xf numFmtId="0" fontId="88" fillId="2" borderId="0" xfId="0" applyFont="1" applyFill="1"/>
    <xf numFmtId="0" fontId="89" fillId="3" borderId="0" xfId="0" applyFont="1" applyFill="1"/>
    <xf numFmtId="3" fontId="89" fillId="3" borderId="3" xfId="0" applyNumberFormat="1" applyFont="1" applyFill="1" applyBorder="1" applyAlignment="1">
      <alignment vertical="top"/>
    </xf>
    <xf numFmtId="0" fontId="88" fillId="2" borderId="3" xfId="0" applyFont="1" applyFill="1" applyBorder="1"/>
    <xf numFmtId="0" fontId="88" fillId="2" borderId="3" xfId="0" applyFont="1" applyFill="1" applyBorder="1" applyAlignment="1">
      <alignment horizontal="left" vertical="center" wrapText="1"/>
    </xf>
    <xf numFmtId="1" fontId="90" fillId="2" borderId="3" xfId="0" applyNumberFormat="1" applyFont="1" applyFill="1" applyBorder="1" applyAlignment="1">
      <alignment vertical="top" shrinkToFit="1"/>
    </xf>
    <xf numFmtId="165" fontId="90" fillId="2" borderId="3" xfId="0" applyNumberFormat="1" applyFont="1" applyFill="1" applyBorder="1" applyAlignment="1">
      <alignment vertical="top" shrinkToFit="1"/>
    </xf>
    <xf numFmtId="3" fontId="91" fillId="2" borderId="3" xfId="0" applyNumberFormat="1" applyFont="1" applyFill="1" applyBorder="1" applyAlignment="1">
      <alignment horizontal="right" vertical="center" wrapText="1"/>
    </xf>
    <xf numFmtId="0" fontId="91" fillId="2" borderId="3" xfId="0" applyFont="1" applyFill="1" applyBorder="1" applyAlignment="1">
      <alignment horizontal="right" vertical="center" wrapText="1"/>
    </xf>
    <xf numFmtId="3" fontId="90" fillId="2" borderId="3" xfId="0" applyNumberFormat="1" applyFont="1" applyFill="1" applyBorder="1" applyAlignment="1">
      <alignment vertical="top" shrinkToFit="1"/>
    </xf>
    <xf numFmtId="3" fontId="92" fillId="2" borderId="3" xfId="0" applyNumberFormat="1" applyFont="1" applyFill="1" applyBorder="1" applyAlignment="1">
      <alignment vertical="top"/>
    </xf>
    <xf numFmtId="0" fontId="89" fillId="2" borderId="0" xfId="0" applyFont="1" applyFill="1"/>
    <xf numFmtId="0" fontId="89" fillId="3" borderId="3" xfId="0" applyFont="1" applyFill="1" applyBorder="1"/>
    <xf numFmtId="0" fontId="89" fillId="3" borderId="3" xfId="0" applyFont="1" applyFill="1" applyBorder="1" applyAlignment="1">
      <alignment vertical="center"/>
    </xf>
    <xf numFmtId="3" fontId="89" fillId="3" borderId="3" xfId="0" applyNumberFormat="1" applyFont="1" applyFill="1" applyBorder="1" applyAlignment="1">
      <alignment vertical="top" shrinkToFit="1"/>
    </xf>
    <xf numFmtId="3" fontId="93" fillId="3" borderId="3" xfId="0" applyNumberFormat="1" applyFont="1" applyFill="1" applyBorder="1" applyAlignment="1">
      <alignment vertical="top"/>
    </xf>
    <xf numFmtId="166" fontId="90" fillId="2" borderId="3" xfId="0" applyNumberFormat="1" applyFont="1" applyFill="1" applyBorder="1" applyAlignment="1">
      <alignment vertical="top" shrinkToFit="1"/>
    </xf>
    <xf numFmtId="0" fontId="92" fillId="2" borderId="3" xfId="0" applyFont="1" applyFill="1" applyBorder="1" applyAlignment="1">
      <alignment vertical="top"/>
    </xf>
    <xf numFmtId="0" fontId="91" fillId="2" borderId="0" xfId="0" applyFont="1" applyFill="1" applyAlignment="1">
      <alignment horizontal="left" vertical="center" wrapText="1" indent="2"/>
    </xf>
    <xf numFmtId="0" fontId="94" fillId="2" borderId="0" xfId="0" applyFont="1" applyFill="1" applyAlignment="1">
      <alignment horizontal="left" vertical="center" wrapText="1" indent="2"/>
    </xf>
    <xf numFmtId="0" fontId="93" fillId="3" borderId="0" xfId="0" applyFont="1" applyFill="1"/>
    <xf numFmtId="0" fontId="93" fillId="3" borderId="3" xfId="0" applyFont="1" applyFill="1" applyBorder="1"/>
    <xf numFmtId="3" fontId="89" fillId="3" borderId="3" xfId="0" applyNumberFormat="1" applyFont="1" applyFill="1" applyBorder="1" applyAlignment="1">
      <alignment horizontal="right" vertical="center" wrapText="1"/>
    </xf>
    <xf numFmtId="0" fontId="95" fillId="0" borderId="0" xfId="0" applyFont="1"/>
    <xf numFmtId="0" fontId="88" fillId="0" borderId="0" xfId="0" applyFont="1"/>
    <xf numFmtId="0" fontId="89" fillId="3" borderId="4" xfId="0" applyFont="1" applyFill="1" applyBorder="1"/>
    <xf numFmtId="0" fontId="93" fillId="3" borderId="4" xfId="0" applyFont="1" applyFill="1" applyBorder="1"/>
    <xf numFmtId="0" fontId="93" fillId="3" borderId="4" xfId="0" applyFont="1" applyFill="1" applyBorder="1" applyAlignment="1">
      <alignment horizontal="right" vertical="center" wrapText="1"/>
    </xf>
    <xf numFmtId="3" fontId="95" fillId="0" borderId="0" xfId="0" applyNumberFormat="1" applyFont="1"/>
    <xf numFmtId="2" fontId="95" fillId="0" borderId="0" xfId="0" applyNumberFormat="1" applyFont="1"/>
    <xf numFmtId="165" fontId="95" fillId="0" borderId="0" xfId="0" applyNumberFormat="1" applyFont="1"/>
    <xf numFmtId="4" fontId="95" fillId="0" borderId="0" xfId="0" applyNumberFormat="1" applyFont="1"/>
    <xf numFmtId="2" fontId="88" fillId="0" borderId="0" xfId="0" applyNumberFormat="1" applyFont="1"/>
    <xf numFmtId="0" fontId="89" fillId="2" borderId="3" xfId="0" applyFont="1" applyFill="1" applyBorder="1"/>
    <xf numFmtId="3" fontId="89" fillId="2" borderId="3" xfId="0" applyNumberFormat="1" applyFont="1" applyFill="1" applyBorder="1" applyAlignment="1">
      <alignment horizontal="right" vertical="center" wrapText="1"/>
    </xf>
    <xf numFmtId="3" fontId="89" fillId="2" borderId="3" xfId="0" applyNumberFormat="1" applyFont="1" applyFill="1" applyBorder="1" applyAlignment="1">
      <alignment vertical="top"/>
    </xf>
    <xf numFmtId="1" fontId="95" fillId="0" borderId="0" xfId="0" applyNumberFormat="1" applyFont="1"/>
    <xf numFmtId="165" fontId="89" fillId="2" borderId="3" xfId="0" applyNumberFormat="1" applyFont="1" applyFill="1" applyBorder="1" applyAlignment="1">
      <alignment vertical="top" shrinkToFit="1"/>
    </xf>
    <xf numFmtId="3" fontId="89" fillId="2" borderId="3" xfId="0" applyNumberFormat="1" applyFont="1" applyFill="1" applyBorder="1" applyAlignment="1">
      <alignment vertical="top" shrinkToFit="1"/>
    </xf>
    <xf numFmtId="0" fontId="89" fillId="2" borderId="3" xfId="0" applyFont="1" applyFill="1" applyBorder="1" applyAlignment="1">
      <alignment horizontal="right" vertical="center" wrapText="1"/>
    </xf>
    <xf numFmtId="1" fontId="89" fillId="2" borderId="3" xfId="0" applyNumberFormat="1" applyFont="1" applyFill="1" applyBorder="1" applyAlignment="1">
      <alignment vertical="top" shrinkToFit="1"/>
    </xf>
    <xf numFmtId="1" fontId="87" fillId="0" borderId="0" xfId="0" applyNumberFormat="1" applyFont="1"/>
    <xf numFmtId="2" fontId="87" fillId="0" borderId="0" xfId="0" applyNumberFormat="1" applyFont="1"/>
    <xf numFmtId="0" fontId="96" fillId="19" borderId="3" xfId="0" applyFont="1" applyFill="1" applyBorder="1"/>
    <xf numFmtId="0" fontId="96" fillId="19" borderId="0" xfId="0" applyFont="1" applyFill="1"/>
    <xf numFmtId="0" fontId="97" fillId="19" borderId="3" xfId="0" applyFont="1" applyFill="1" applyBorder="1"/>
    <xf numFmtId="0" fontId="97" fillId="19" borderId="3" xfId="0" applyFont="1" applyFill="1" applyBorder="1" applyAlignment="1">
      <alignment horizontal="right" wrapText="1"/>
    </xf>
    <xf numFmtId="0" fontId="97" fillId="19" borderId="0" xfId="0" applyFont="1" applyFill="1"/>
    <xf numFmtId="0" fontId="0" fillId="0" borderId="55" xfId="0" applyBorder="1"/>
    <xf numFmtId="0" fontId="0" fillId="15" borderId="55" xfId="0" applyFill="1" applyBorder="1"/>
    <xf numFmtId="0" fontId="0" fillId="0" borderId="25" xfId="0" applyBorder="1" applyAlignment="1">
      <alignment horizontal="left" vertical="center" wrapText="1"/>
    </xf>
    <xf numFmtId="0" fontId="76" fillId="0" borderId="26" xfId="0" applyFont="1" applyBorder="1" applyAlignment="1">
      <alignment vertical="top" wrapText="1"/>
    </xf>
    <xf numFmtId="0" fontId="76" fillId="0" borderId="18" xfId="0" applyFont="1" applyBorder="1" applyAlignment="1">
      <alignment horizontal="left" vertical="top" wrapText="1"/>
    </xf>
    <xf numFmtId="0" fontId="76" fillId="6" borderId="19" xfId="0" applyFont="1" applyFill="1" applyBorder="1" applyAlignment="1">
      <alignment horizontal="left" vertical="top" wrapText="1"/>
    </xf>
    <xf numFmtId="0" fontId="76" fillId="0" borderId="20" xfId="0" applyFont="1" applyBorder="1" applyAlignment="1">
      <alignment horizontal="left" vertical="top" wrapText="1"/>
    </xf>
    <xf numFmtId="0" fontId="76" fillId="6" borderId="20" xfId="0" applyFont="1" applyFill="1" applyBorder="1" applyAlignment="1">
      <alignment horizontal="left" vertical="top" wrapText="1" indent="1"/>
    </xf>
    <xf numFmtId="0" fontId="76" fillId="0" borderId="0" xfId="0" applyFont="1" applyAlignment="1">
      <alignment horizontal="left" vertical="top" wrapText="1"/>
    </xf>
    <xf numFmtId="0" fontId="76" fillId="0" borderId="27" xfId="0" applyFont="1" applyBorder="1" applyAlignment="1">
      <alignment vertical="top" wrapText="1"/>
    </xf>
    <xf numFmtId="0" fontId="76" fillId="0" borderId="27" xfId="0" applyFont="1" applyBorder="1" applyAlignment="1">
      <alignment horizontal="right" vertical="top" wrapText="1"/>
    </xf>
    <xf numFmtId="0" fontId="76" fillId="9" borderId="27" xfId="0" applyFont="1" applyFill="1" applyBorder="1" applyAlignment="1">
      <alignment horizontal="right" vertical="top" wrapText="1"/>
    </xf>
    <xf numFmtId="0" fontId="76" fillId="0" borderId="27" xfId="0" applyFont="1" applyBorder="1" applyAlignment="1">
      <alignment horizontal="right" vertical="top" wrapText="1" indent="1"/>
    </xf>
    <xf numFmtId="0" fontId="76" fillId="7" borderId="14" xfId="0" applyFont="1" applyFill="1" applyBorder="1" applyAlignment="1">
      <alignment horizontal="left" vertical="top" wrapText="1"/>
    </xf>
    <xf numFmtId="0" fontId="76" fillId="8" borderId="14" xfId="0" applyFont="1" applyFill="1" applyBorder="1" applyAlignment="1">
      <alignment horizontal="left" vertical="top" wrapText="1"/>
    </xf>
    <xf numFmtId="0" fontId="76" fillId="0" borderId="5" xfId="0" applyFont="1" applyBorder="1" applyAlignment="1">
      <alignment horizontal="left" vertical="top" wrapText="1"/>
    </xf>
    <xf numFmtId="0" fontId="0" fillId="5" borderId="21" xfId="0" applyFill="1" applyBorder="1" applyAlignment="1">
      <alignment horizontal="left" vertical="center" wrapText="1"/>
    </xf>
    <xf numFmtId="0" fontId="0" fillId="5" borderId="22" xfId="0" applyFill="1" applyBorder="1" applyAlignment="1">
      <alignment horizontal="left" vertical="center" wrapText="1"/>
    </xf>
    <xf numFmtId="0" fontId="0" fillId="0" borderId="28" xfId="0" applyBorder="1" applyAlignment="1">
      <alignment horizontal="left" wrapText="1"/>
    </xf>
    <xf numFmtId="0" fontId="76" fillId="0" borderId="28" xfId="0" applyFont="1" applyBorder="1" applyAlignment="1">
      <alignment vertical="top" wrapText="1"/>
    </xf>
    <xf numFmtId="0" fontId="76" fillId="0" borderId="28" xfId="0" applyFont="1" applyBorder="1" applyAlignment="1">
      <alignment horizontal="right" vertical="top" wrapText="1"/>
    </xf>
    <xf numFmtId="167" fontId="100" fillId="9" borderId="28" xfId="0" applyNumberFormat="1" applyFont="1" applyFill="1" applyBorder="1" applyAlignment="1">
      <alignment horizontal="right" vertical="top" shrinkToFit="1"/>
    </xf>
    <xf numFmtId="167" fontId="100" fillId="0" borderId="28" xfId="0" applyNumberFormat="1" applyFont="1" applyBorder="1" applyAlignment="1">
      <alignment horizontal="right" vertical="top" indent="1" shrinkToFit="1"/>
    </xf>
    <xf numFmtId="0" fontId="0" fillId="0" borderId="28" xfId="0" applyBorder="1" applyAlignment="1">
      <alignment horizontal="right" vertical="top" wrapText="1"/>
    </xf>
    <xf numFmtId="167" fontId="106" fillId="9" borderId="28" xfId="0" applyNumberFormat="1" applyFont="1" applyFill="1" applyBorder="1" applyAlignment="1">
      <alignment horizontal="right" vertical="top" shrinkToFit="1"/>
    </xf>
    <xf numFmtId="167" fontId="100" fillId="0" borderId="28" xfId="0" applyNumberFormat="1" applyFont="1" applyBorder="1" applyAlignment="1">
      <alignment horizontal="right" vertical="top" shrinkToFit="1"/>
    </xf>
    <xf numFmtId="0" fontId="0" fillId="7" borderId="40" xfId="0" applyFill="1" applyBorder="1" applyAlignment="1">
      <alignment horizontal="left" vertical="center" wrapText="1"/>
    </xf>
    <xf numFmtId="0" fontId="0" fillId="0" borderId="40" xfId="0" applyBorder="1" applyAlignment="1">
      <alignment horizontal="left" vertical="center" wrapText="1"/>
    </xf>
    <xf numFmtId="0" fontId="0" fillId="0" borderId="0" xfId="0" applyAlignment="1">
      <alignment horizontal="left" wrapText="1"/>
    </xf>
    <xf numFmtId="0" fontId="0" fillId="5" borderId="21" xfId="0" applyFill="1" applyBorder="1" applyAlignment="1">
      <alignment horizontal="left" wrapText="1"/>
    </xf>
    <xf numFmtId="0" fontId="0" fillId="5" borderId="22" xfId="0" applyFill="1" applyBorder="1" applyAlignment="1">
      <alignment horizontal="left" wrapText="1"/>
    </xf>
    <xf numFmtId="0" fontId="0" fillId="0" borderId="27" xfId="0" applyBorder="1" applyAlignment="1">
      <alignment vertical="top" wrapText="1"/>
    </xf>
    <xf numFmtId="0" fontId="0" fillId="9" borderId="29" xfId="0" applyFill="1" applyBorder="1" applyAlignment="1">
      <alignment horizontal="left" vertical="center" wrapText="1"/>
    </xf>
    <xf numFmtId="0" fontId="0" fillId="0" borderId="29" xfId="0" applyBorder="1" applyAlignment="1">
      <alignment vertical="center" wrapText="1"/>
    </xf>
    <xf numFmtId="0" fontId="0" fillId="0" borderId="29" xfId="0" applyBorder="1" applyAlignment="1">
      <alignment horizontal="left" vertical="center" wrapText="1"/>
    </xf>
    <xf numFmtId="0" fontId="0" fillId="7" borderId="12" xfId="0" applyFill="1" applyBorder="1" applyAlignment="1">
      <alignment horizontal="left" wrapText="1"/>
    </xf>
    <xf numFmtId="0" fontId="0" fillId="0" borderId="12" xfId="0" applyBorder="1" applyAlignment="1">
      <alignment horizontal="left" wrapText="1"/>
    </xf>
    <xf numFmtId="0" fontId="102" fillId="0" borderId="5" xfId="0" applyFont="1" applyBorder="1" applyAlignment="1">
      <alignment horizontal="left" vertical="top" wrapText="1"/>
    </xf>
    <xf numFmtId="3" fontId="101" fillId="0" borderId="5" xfId="0" applyNumberFormat="1" applyFont="1" applyBorder="1" applyAlignment="1">
      <alignment horizontal="right" vertical="top" shrinkToFit="1"/>
    </xf>
    <xf numFmtId="1" fontId="101" fillId="0" borderId="5" xfId="0" applyNumberFormat="1" applyFont="1" applyBorder="1" applyAlignment="1">
      <alignment horizontal="right" vertical="top" shrinkToFit="1"/>
    </xf>
    <xf numFmtId="3" fontId="101" fillId="5" borderId="21" xfId="0" applyNumberFormat="1" applyFont="1" applyFill="1" applyBorder="1" applyAlignment="1">
      <alignment horizontal="right" vertical="top" shrinkToFit="1"/>
    </xf>
    <xf numFmtId="0" fontId="102" fillId="0" borderId="22" xfId="0" applyFont="1" applyBorder="1" applyAlignment="1">
      <alignment horizontal="right" vertical="top" wrapText="1"/>
    </xf>
    <xf numFmtId="0" fontId="102" fillId="0" borderId="5" xfId="0" applyFont="1" applyBorder="1" applyAlignment="1">
      <alignment horizontal="right" vertical="top" wrapText="1"/>
    </xf>
    <xf numFmtId="0" fontId="102" fillId="5" borderId="21" xfId="0" applyFont="1" applyFill="1" applyBorder="1" applyAlignment="1">
      <alignment horizontal="right" vertical="top" wrapText="1"/>
    </xf>
    <xf numFmtId="3" fontId="101" fillId="5" borderId="22" xfId="0" applyNumberFormat="1" applyFont="1" applyFill="1" applyBorder="1" applyAlignment="1">
      <alignment horizontal="right" vertical="top" shrinkToFit="1"/>
    </xf>
    <xf numFmtId="0" fontId="102" fillId="0" borderId="30" xfId="0" applyFont="1" applyBorder="1" applyAlignment="1">
      <alignment horizontal="left" vertical="top" wrapText="1"/>
    </xf>
    <xf numFmtId="3" fontId="102" fillId="0" borderId="31" xfId="0" applyNumberFormat="1" applyFont="1" applyBorder="1" applyAlignment="1">
      <alignment vertical="top" wrapText="1"/>
    </xf>
    <xf numFmtId="0" fontId="102" fillId="0" borderId="32" xfId="0" applyFont="1" applyBorder="1" applyAlignment="1">
      <alignment vertical="top" wrapText="1"/>
    </xf>
    <xf numFmtId="1" fontId="112" fillId="0" borderId="32" xfId="0" applyNumberFormat="1" applyFont="1" applyBorder="1" applyAlignment="1">
      <alignment horizontal="right" vertical="top" shrinkToFit="1"/>
    </xf>
    <xf numFmtId="3" fontId="112" fillId="9" borderId="32" xfId="0" applyNumberFormat="1" applyFont="1" applyFill="1" applyBorder="1" applyAlignment="1">
      <alignment horizontal="right" vertical="top" shrinkToFit="1"/>
    </xf>
    <xf numFmtId="0" fontId="102" fillId="0" borderId="32" xfId="0" applyFont="1" applyBorder="1" applyAlignment="1">
      <alignment horizontal="right" vertical="top" wrapText="1" indent="1"/>
    </xf>
    <xf numFmtId="0" fontId="102" fillId="0" borderId="32" xfId="0" applyFont="1" applyBorder="1" applyAlignment="1">
      <alignment horizontal="right" vertical="top" wrapText="1"/>
    </xf>
    <xf numFmtId="0" fontId="102" fillId="9" borderId="32" xfId="0" applyFont="1" applyFill="1" applyBorder="1" applyAlignment="1">
      <alignment horizontal="right" vertical="top" wrapText="1"/>
    </xf>
    <xf numFmtId="3" fontId="112" fillId="0" borderId="33" xfId="0" applyNumberFormat="1" applyFont="1" applyBorder="1" applyAlignment="1">
      <alignment horizontal="right" vertical="top" shrinkToFit="1"/>
    </xf>
    <xf numFmtId="0" fontId="102" fillId="0" borderId="12" xfId="0" applyFont="1" applyBorder="1" applyAlignment="1">
      <alignment horizontal="left" vertical="top" wrapText="1"/>
    </xf>
    <xf numFmtId="3" fontId="113" fillId="0" borderId="12" xfId="0" applyNumberFormat="1" applyFont="1" applyBorder="1" applyAlignment="1">
      <alignment horizontal="right" vertical="top" shrinkToFit="1"/>
    </xf>
    <xf numFmtId="1" fontId="113" fillId="0" borderId="12" xfId="0" applyNumberFormat="1" applyFont="1" applyBorder="1" applyAlignment="1">
      <alignment horizontal="right" vertical="top" shrinkToFit="1"/>
    </xf>
    <xf numFmtId="3" fontId="114" fillId="7" borderId="12" xfId="0" applyNumberFormat="1" applyFont="1" applyFill="1" applyBorder="1" applyAlignment="1">
      <alignment horizontal="right" vertical="top" shrinkToFit="1"/>
    </xf>
    <xf numFmtId="0" fontId="102" fillId="0" borderId="12" xfId="0" applyFont="1" applyBorder="1" applyAlignment="1">
      <alignment horizontal="right" vertical="top" wrapText="1"/>
    </xf>
    <xf numFmtId="0" fontId="76" fillId="7" borderId="12" xfId="0" applyFont="1" applyFill="1" applyBorder="1" applyAlignment="1">
      <alignment horizontal="right" vertical="top" wrapText="1"/>
    </xf>
    <xf numFmtId="3" fontId="101" fillId="0" borderId="22" xfId="0" applyNumberFormat="1" applyFont="1" applyBorder="1" applyAlignment="1">
      <alignment horizontal="right" vertical="top" shrinkToFit="1"/>
    </xf>
    <xf numFmtId="3" fontId="102" fillId="0" borderId="34" xfId="0" applyNumberFormat="1" applyFont="1" applyBorder="1" applyAlignment="1">
      <alignment vertical="top" wrapText="1"/>
    </xf>
    <xf numFmtId="0" fontId="102" fillId="0" borderId="0" xfId="0" applyFont="1" applyAlignment="1">
      <alignment vertical="top" wrapText="1"/>
    </xf>
    <xf numFmtId="1" fontId="112" fillId="0" borderId="0" xfId="0" applyNumberFormat="1" applyFont="1" applyAlignment="1">
      <alignment horizontal="right" vertical="top" shrinkToFit="1"/>
    </xf>
    <xf numFmtId="3" fontId="112" fillId="9" borderId="0" xfId="0" applyNumberFormat="1" applyFont="1" applyFill="1" applyAlignment="1">
      <alignment horizontal="right" vertical="top" shrinkToFit="1"/>
    </xf>
    <xf numFmtId="3" fontId="112" fillId="0" borderId="0" xfId="0" applyNumberFormat="1" applyFont="1" applyAlignment="1">
      <alignment horizontal="right" vertical="top" indent="1" shrinkToFit="1"/>
    </xf>
    <xf numFmtId="3" fontId="112" fillId="0" borderId="0" xfId="0" applyNumberFormat="1" applyFont="1" applyAlignment="1">
      <alignment vertical="top" shrinkToFit="1"/>
    </xf>
    <xf numFmtId="3" fontId="112" fillId="0" borderId="30" xfId="0" applyNumberFormat="1" applyFont="1" applyBorder="1" applyAlignment="1">
      <alignment horizontal="right" vertical="top" shrinkToFit="1"/>
    </xf>
    <xf numFmtId="3" fontId="102" fillId="0" borderId="5" xfId="0" applyNumberFormat="1" applyFont="1" applyBorder="1" applyAlignment="1">
      <alignment horizontal="right" vertical="top" wrapText="1"/>
    </xf>
    <xf numFmtId="3" fontId="102" fillId="5" borderId="21" xfId="0" applyNumberFormat="1" applyFont="1" applyFill="1" applyBorder="1" applyAlignment="1">
      <alignment horizontal="right" vertical="top" wrapText="1"/>
    </xf>
    <xf numFmtId="3" fontId="102" fillId="0" borderId="22" xfId="0" applyNumberFormat="1" applyFont="1" applyBorder="1" applyAlignment="1">
      <alignment horizontal="right" vertical="top" wrapText="1"/>
    </xf>
    <xf numFmtId="3" fontId="102" fillId="5" borderId="22" xfId="0" applyNumberFormat="1" applyFont="1" applyFill="1" applyBorder="1" applyAlignment="1">
      <alignment horizontal="right" vertical="top" wrapText="1"/>
    </xf>
    <xf numFmtId="3" fontId="112" fillId="0" borderId="0" xfId="0" applyNumberFormat="1" applyFont="1" applyAlignment="1">
      <alignment horizontal="right" vertical="top" shrinkToFit="1"/>
    </xf>
    <xf numFmtId="3" fontId="102" fillId="9" borderId="0" xfId="0" applyNumberFormat="1" applyFont="1" applyFill="1" applyAlignment="1">
      <alignment horizontal="right" vertical="top" wrapText="1"/>
    </xf>
    <xf numFmtId="3" fontId="102" fillId="0" borderId="0" xfId="0" applyNumberFormat="1" applyFont="1" applyAlignment="1">
      <alignment horizontal="right" vertical="top" wrapText="1" indent="1"/>
    </xf>
    <xf numFmtId="3" fontId="102" fillId="0" borderId="30" xfId="0" applyNumberFormat="1" applyFont="1" applyBorder="1" applyAlignment="1">
      <alignment horizontal="right" vertical="top" wrapText="1"/>
    </xf>
    <xf numFmtId="3" fontId="102" fillId="0" borderId="12" xfId="0" applyNumberFormat="1" applyFont="1" applyBorder="1" applyAlignment="1">
      <alignment horizontal="right" vertical="top" wrapText="1"/>
    </xf>
    <xf numFmtId="3" fontId="76" fillId="7" borderId="12" xfId="0" applyNumberFormat="1" applyFont="1" applyFill="1" applyBorder="1" applyAlignment="1">
      <alignment horizontal="right" vertical="top" wrapText="1"/>
    </xf>
    <xf numFmtId="0" fontId="0" fillId="0" borderId="5" xfId="0" applyBorder="1" applyAlignment="1">
      <alignment horizontal="left" vertical="top" wrapText="1"/>
    </xf>
    <xf numFmtId="0" fontId="0" fillId="0" borderId="30" xfId="0" applyBorder="1" applyAlignment="1">
      <alignment horizontal="left" vertical="top" wrapText="1"/>
    </xf>
    <xf numFmtId="0" fontId="102" fillId="0" borderId="0" xfId="0" applyFont="1" applyAlignment="1">
      <alignment horizontal="right" vertical="top" wrapText="1"/>
    </xf>
    <xf numFmtId="0" fontId="0" fillId="0" borderId="12" xfId="0" applyBorder="1" applyAlignment="1">
      <alignment horizontal="left" vertical="top" wrapText="1"/>
    </xf>
    <xf numFmtId="1" fontId="112" fillId="0" borderId="0" xfId="0" applyNumberFormat="1" applyFont="1" applyAlignment="1">
      <alignment vertical="top" shrinkToFit="1"/>
    </xf>
    <xf numFmtId="1" fontId="101" fillId="5" borderId="21" xfId="0" applyNumberFormat="1" applyFont="1" applyFill="1" applyBorder="1" applyAlignment="1">
      <alignment horizontal="right" vertical="top" shrinkToFit="1"/>
    </xf>
    <xf numFmtId="1" fontId="101" fillId="0" borderId="22" xfId="0" applyNumberFormat="1" applyFont="1" applyBorder="1" applyAlignment="1">
      <alignment horizontal="right" vertical="top" shrinkToFit="1"/>
    </xf>
    <xf numFmtId="1" fontId="101" fillId="5" borderId="22" xfId="0" applyNumberFormat="1" applyFont="1" applyFill="1" applyBorder="1" applyAlignment="1">
      <alignment horizontal="right" vertical="top" shrinkToFit="1"/>
    </xf>
    <xf numFmtId="0" fontId="102" fillId="0" borderId="34" xfId="0" applyFont="1" applyBorder="1" applyAlignment="1">
      <alignment vertical="top" wrapText="1"/>
    </xf>
    <xf numFmtId="1" fontId="112" fillId="9" borderId="0" xfId="0" applyNumberFormat="1" applyFont="1" applyFill="1" applyAlignment="1">
      <alignment horizontal="right" vertical="top" shrinkToFit="1"/>
    </xf>
    <xf numFmtId="1" fontId="112" fillId="0" borderId="0" xfId="0" applyNumberFormat="1" applyFont="1" applyAlignment="1">
      <alignment horizontal="right" vertical="top" indent="1" shrinkToFit="1"/>
    </xf>
    <xf numFmtId="1" fontId="112" fillId="0" borderId="30" xfId="0" applyNumberFormat="1" applyFont="1" applyBorder="1" applyAlignment="1">
      <alignment horizontal="right" vertical="top" shrinkToFit="1"/>
    </xf>
    <xf numFmtId="1" fontId="114" fillId="7" borderId="12" xfId="0" applyNumberFormat="1" applyFont="1" applyFill="1" applyBorder="1" applyAlignment="1">
      <alignment horizontal="right" vertical="top" shrinkToFit="1"/>
    </xf>
    <xf numFmtId="0" fontId="102" fillId="0" borderId="35" xfId="0" applyFont="1" applyBorder="1" applyAlignment="1">
      <alignment vertical="top" wrapText="1"/>
    </xf>
    <xf numFmtId="0" fontId="102" fillId="0" borderId="36" xfId="0" applyFont="1" applyBorder="1" applyAlignment="1">
      <alignment vertical="top" wrapText="1"/>
    </xf>
    <xf numFmtId="0" fontId="102" fillId="0" borderId="36" xfId="0" applyFont="1" applyBorder="1" applyAlignment="1">
      <alignment horizontal="right" vertical="top" wrapText="1"/>
    </xf>
    <xf numFmtId="3" fontId="112" fillId="9" borderId="36" xfId="0" applyNumberFormat="1" applyFont="1" applyFill="1" applyBorder="1" applyAlignment="1">
      <alignment horizontal="right" vertical="top" shrinkToFit="1"/>
    </xf>
    <xf numFmtId="1" fontId="112" fillId="0" borderId="36" xfId="0" applyNumberFormat="1" applyFont="1" applyBorder="1" applyAlignment="1">
      <alignment horizontal="right" vertical="top" indent="1" shrinkToFit="1"/>
    </xf>
    <xf numFmtId="1" fontId="112" fillId="0" borderId="36" xfId="0" applyNumberFormat="1" applyFont="1" applyBorder="1" applyAlignment="1">
      <alignment vertical="top" shrinkToFit="1"/>
    </xf>
    <xf numFmtId="1" fontId="112" fillId="9" borderId="36" xfId="0" applyNumberFormat="1" applyFont="1" applyFill="1" applyBorder="1" applyAlignment="1">
      <alignment horizontal="right" vertical="top" shrinkToFit="1"/>
    </xf>
    <xf numFmtId="1" fontId="112" fillId="0" borderId="37" xfId="0" applyNumberFormat="1" applyFont="1" applyBorder="1" applyAlignment="1">
      <alignment horizontal="right" vertical="top" shrinkToFit="1"/>
    </xf>
    <xf numFmtId="3" fontId="113" fillId="0" borderId="13" xfId="0" applyNumberFormat="1" applyFont="1" applyBorder="1" applyAlignment="1">
      <alignment horizontal="right" vertical="top" shrinkToFit="1"/>
    </xf>
    <xf numFmtId="1" fontId="113" fillId="0" borderId="13" xfId="0" applyNumberFormat="1" applyFont="1" applyBorder="1" applyAlignment="1">
      <alignment horizontal="right" vertical="top" shrinkToFit="1"/>
    </xf>
    <xf numFmtId="0" fontId="102" fillId="0" borderId="13" xfId="0" applyFont="1" applyBorder="1" applyAlignment="1">
      <alignment horizontal="right" vertical="top" wrapText="1"/>
    </xf>
    <xf numFmtId="3" fontId="114" fillId="7" borderId="13" xfId="0" applyNumberFormat="1" applyFont="1" applyFill="1" applyBorder="1" applyAlignment="1">
      <alignment horizontal="right" vertical="top" shrinkToFit="1"/>
    </xf>
    <xf numFmtId="1" fontId="114" fillId="7" borderId="13" xfId="0" applyNumberFormat="1" applyFont="1" applyFill="1" applyBorder="1" applyAlignment="1">
      <alignment horizontal="right" vertical="top" shrinkToFit="1"/>
    </xf>
    <xf numFmtId="3" fontId="76" fillId="0" borderId="6" xfId="0" applyNumberFormat="1" applyFont="1" applyBorder="1" applyAlignment="1">
      <alignment horizontal="right" vertical="top" wrapText="1"/>
    </xf>
    <xf numFmtId="3" fontId="100" fillId="0" borderId="6" xfId="0" applyNumberFormat="1" applyFont="1" applyBorder="1" applyAlignment="1">
      <alignment horizontal="right" vertical="top" shrinkToFit="1"/>
    </xf>
    <xf numFmtId="3" fontId="76" fillId="5" borderId="23" xfId="0" applyNumberFormat="1" applyFont="1" applyFill="1" applyBorder="1" applyAlignment="1">
      <alignment horizontal="right" vertical="top" wrapText="1"/>
    </xf>
    <xf numFmtId="3" fontId="76" fillId="0" borderId="24" xfId="0" applyNumberFormat="1" applyFont="1" applyBorder="1" applyAlignment="1">
      <alignment horizontal="right" vertical="top" wrapText="1"/>
    </xf>
    <xf numFmtId="3" fontId="76" fillId="5" borderId="24" xfId="0" applyNumberFormat="1" applyFont="1" applyFill="1" applyBorder="1" applyAlignment="1">
      <alignment horizontal="right" vertical="top" wrapText="1"/>
    </xf>
    <xf numFmtId="0" fontId="76" fillId="0" borderId="30" xfId="0" applyFont="1" applyBorder="1" applyAlignment="1">
      <alignment horizontal="left" vertical="top" wrapText="1"/>
    </xf>
    <xf numFmtId="3" fontId="76" fillId="0" borderId="38" xfId="0" applyNumberFormat="1" applyFont="1" applyBorder="1" applyAlignment="1">
      <alignment vertical="top" wrapText="1"/>
    </xf>
    <xf numFmtId="0" fontId="76" fillId="0" borderId="14" xfId="0" applyFont="1" applyBorder="1" applyAlignment="1">
      <alignment vertical="top" wrapText="1"/>
    </xf>
    <xf numFmtId="3" fontId="105" fillId="0" borderId="14" xfId="0" applyNumberFormat="1" applyFont="1" applyBorder="1" applyAlignment="1">
      <alignment horizontal="right" vertical="top" shrinkToFit="1"/>
    </xf>
    <xf numFmtId="3" fontId="76" fillId="9" borderId="14" xfId="0" applyNumberFormat="1" applyFont="1" applyFill="1" applyBorder="1" applyAlignment="1">
      <alignment horizontal="right" vertical="top" wrapText="1"/>
    </xf>
    <xf numFmtId="3" fontId="76" fillId="0" borderId="14" xfId="0" applyNumberFormat="1" applyFont="1" applyBorder="1" applyAlignment="1">
      <alignment horizontal="right" vertical="top" wrapText="1" indent="1"/>
    </xf>
    <xf numFmtId="3" fontId="105" fillId="0" borderId="14" xfId="0" applyNumberFormat="1" applyFont="1" applyBorder="1" applyAlignment="1">
      <alignment vertical="top" shrinkToFit="1"/>
    </xf>
    <xf numFmtId="3" fontId="76" fillId="0" borderId="39" xfId="0" applyNumberFormat="1" applyFont="1" applyBorder="1" applyAlignment="1">
      <alignment horizontal="right" vertical="top" wrapText="1"/>
    </xf>
    <xf numFmtId="0" fontId="76" fillId="0" borderId="41" xfId="0" applyFont="1" applyBorder="1" applyAlignment="1">
      <alignment horizontal="left" vertical="top" wrapText="1"/>
    </xf>
    <xf numFmtId="3" fontId="76" fillId="7" borderId="42" xfId="0" applyNumberFormat="1" applyFont="1" applyFill="1" applyBorder="1" applyAlignment="1">
      <alignment horizontal="right" vertical="top" wrapText="1"/>
    </xf>
    <xf numFmtId="3" fontId="114" fillId="7" borderId="42" xfId="0" applyNumberFormat="1" applyFont="1" applyFill="1" applyBorder="1" applyAlignment="1">
      <alignment horizontal="right" vertical="top" shrinkToFit="1"/>
    </xf>
    <xf numFmtId="3" fontId="76" fillId="10" borderId="42" xfId="0" applyNumberFormat="1" applyFont="1" applyFill="1" applyBorder="1" applyAlignment="1">
      <alignment horizontal="right" vertical="top" wrapText="1"/>
    </xf>
    <xf numFmtId="1" fontId="114" fillId="7" borderId="42" xfId="0" applyNumberFormat="1" applyFont="1" applyFill="1" applyBorder="1" applyAlignment="1">
      <alignment horizontal="right" vertical="top" shrinkToFit="1"/>
    </xf>
    <xf numFmtId="0" fontId="0" fillId="5" borderId="19" xfId="0" applyFill="1" applyBorder="1" applyAlignment="1">
      <alignment horizontal="left" wrapText="1"/>
    </xf>
    <xf numFmtId="0" fontId="0" fillId="5" borderId="20" xfId="0" applyFill="1" applyBorder="1" applyAlignment="1">
      <alignment horizontal="left" wrapText="1"/>
    </xf>
    <xf numFmtId="0" fontId="76" fillId="0" borderId="0" xfId="0" applyFont="1" applyAlignment="1">
      <alignment vertical="top" wrapText="1"/>
    </xf>
    <xf numFmtId="0" fontId="0" fillId="9" borderId="14" xfId="0" applyFill="1" applyBorder="1" applyAlignment="1">
      <alignment horizontal="left" wrapText="1"/>
    </xf>
    <xf numFmtId="0" fontId="0" fillId="0" borderId="14" xfId="0" applyBorder="1" applyAlignment="1">
      <alignment wrapText="1"/>
    </xf>
    <xf numFmtId="0" fontId="0" fillId="0" borderId="14" xfId="0" applyBorder="1" applyAlignment="1">
      <alignment horizontal="left" wrapText="1"/>
    </xf>
    <xf numFmtId="0" fontId="0" fillId="7" borderId="40" xfId="0" applyFill="1" applyBorder="1" applyAlignment="1">
      <alignment horizontal="left" wrapText="1"/>
    </xf>
    <xf numFmtId="0" fontId="0" fillId="0" borderId="40" xfId="0" applyBorder="1" applyAlignment="1">
      <alignment horizontal="left" wrapText="1"/>
    </xf>
    <xf numFmtId="3" fontId="112" fillId="0" borderId="32" xfId="0" applyNumberFormat="1" applyFont="1" applyBorder="1" applyAlignment="1">
      <alignment horizontal="right" vertical="top" indent="1" shrinkToFit="1"/>
    </xf>
    <xf numFmtId="1" fontId="112" fillId="0" borderId="32" xfId="0" applyNumberFormat="1" applyFont="1" applyBorder="1" applyAlignment="1">
      <alignment vertical="top" shrinkToFit="1"/>
    </xf>
    <xf numFmtId="0" fontId="0" fillId="0" borderId="12" xfId="0" applyBorder="1" applyAlignment="1">
      <alignment horizontal="right" vertical="top" wrapText="1"/>
    </xf>
    <xf numFmtId="166" fontId="101" fillId="0" borderId="5" xfId="0" applyNumberFormat="1" applyFont="1" applyBorder="1" applyAlignment="1">
      <alignment horizontal="right" vertical="top" shrinkToFit="1"/>
    </xf>
    <xf numFmtId="0" fontId="102" fillId="5" borderId="22" xfId="0" applyFont="1" applyFill="1" applyBorder="1" applyAlignment="1">
      <alignment horizontal="right" vertical="top" wrapText="1"/>
    </xf>
    <xf numFmtId="0" fontId="102" fillId="9" borderId="36" xfId="0" applyFont="1" applyFill="1" applyBorder="1" applyAlignment="1">
      <alignment horizontal="right" vertical="top" wrapText="1"/>
    </xf>
    <xf numFmtId="0" fontId="102" fillId="0" borderId="37" xfId="0" applyFont="1" applyBorder="1" applyAlignment="1">
      <alignment horizontal="right" vertical="top" wrapText="1"/>
    </xf>
    <xf numFmtId="0" fontId="76" fillId="7" borderId="13" xfId="0" applyFont="1" applyFill="1" applyBorder="1" applyAlignment="1">
      <alignment horizontal="right" vertical="top" wrapText="1"/>
    </xf>
    <xf numFmtId="1" fontId="100" fillId="0" borderId="6" xfId="0" applyNumberFormat="1" applyFont="1" applyBorder="1" applyAlignment="1">
      <alignment horizontal="right" vertical="top" shrinkToFit="1"/>
    </xf>
    <xf numFmtId="3" fontId="100" fillId="5" borderId="23" xfId="0" applyNumberFormat="1" applyFont="1" applyFill="1" applyBorder="1" applyAlignment="1">
      <alignment horizontal="right" vertical="top" shrinkToFit="1"/>
    </xf>
    <xf numFmtId="3" fontId="100" fillId="0" borderId="24" xfId="0" applyNumberFormat="1" applyFont="1" applyBorder="1" applyAlignment="1">
      <alignment horizontal="right" vertical="top" shrinkToFit="1"/>
    </xf>
    <xf numFmtId="3" fontId="100" fillId="5" borderId="24" xfId="0" applyNumberFormat="1" applyFont="1" applyFill="1" applyBorder="1" applyAlignment="1">
      <alignment horizontal="right" vertical="top" shrinkToFit="1"/>
    </xf>
    <xf numFmtId="0" fontId="76" fillId="0" borderId="37" xfId="0" applyFont="1" applyBorder="1" applyAlignment="1">
      <alignment horizontal="left" vertical="top" wrapText="1"/>
    </xf>
    <xf numFmtId="1" fontId="105" fillId="0" borderId="14" xfId="0" applyNumberFormat="1" applyFont="1" applyBorder="1" applyAlignment="1">
      <alignment horizontal="right" vertical="top" shrinkToFit="1"/>
    </xf>
    <xf numFmtId="3" fontId="105" fillId="9" borderId="14" xfId="0" applyNumberFormat="1" applyFont="1" applyFill="1" applyBorder="1" applyAlignment="1">
      <alignment horizontal="right" vertical="top" shrinkToFit="1"/>
    </xf>
    <xf numFmtId="3" fontId="105" fillId="0" borderId="14" xfId="0" applyNumberFormat="1" applyFont="1" applyBorder="1" applyAlignment="1">
      <alignment horizontal="right" vertical="top" indent="1" shrinkToFit="1"/>
    </xf>
    <xf numFmtId="3" fontId="105" fillId="0" borderId="39" xfId="0" applyNumberFormat="1" applyFont="1" applyBorder="1" applyAlignment="1">
      <alignment horizontal="right" vertical="top" shrinkToFit="1"/>
    </xf>
    <xf numFmtId="3" fontId="114" fillId="10" borderId="42" xfId="0" applyNumberFormat="1" applyFont="1" applyFill="1" applyBorder="1" applyAlignment="1">
      <alignment horizontal="right" vertical="top" shrinkToFit="1"/>
    </xf>
    <xf numFmtId="3" fontId="76" fillId="6" borderId="7" xfId="0" applyNumberFormat="1" applyFont="1" applyFill="1" applyBorder="1" applyAlignment="1">
      <alignment horizontal="right" vertical="top" wrapText="1"/>
    </xf>
    <xf numFmtId="3" fontId="100" fillId="6" borderId="7" xfId="0" applyNumberFormat="1" applyFont="1" applyFill="1" applyBorder="1" applyAlignment="1">
      <alignment horizontal="right" vertical="top" shrinkToFit="1"/>
    </xf>
    <xf numFmtId="3" fontId="76" fillId="6" borderId="15" xfId="0" applyNumberFormat="1" applyFont="1" applyFill="1" applyBorder="1" applyAlignment="1">
      <alignment horizontal="right" vertical="top" wrapText="1"/>
    </xf>
    <xf numFmtId="3" fontId="76" fillId="6" borderId="16" xfId="0" applyNumberFormat="1" applyFont="1" applyFill="1" applyBorder="1" applyAlignment="1">
      <alignment horizontal="right" vertical="top" wrapText="1"/>
    </xf>
    <xf numFmtId="0" fontId="76" fillId="0" borderId="38" xfId="0" applyFont="1" applyBorder="1" applyAlignment="1">
      <alignment horizontal="left" vertical="top" wrapText="1"/>
    </xf>
    <xf numFmtId="3" fontId="76" fillId="0" borderId="14" xfId="0" applyNumberFormat="1" applyFont="1" applyBorder="1" applyAlignment="1">
      <alignment vertical="top" wrapText="1"/>
    </xf>
    <xf numFmtId="3" fontId="76" fillId="8" borderId="42" xfId="0" applyNumberFormat="1" applyFont="1" applyFill="1" applyBorder="1" applyAlignment="1">
      <alignment horizontal="right" vertical="top" wrapText="1"/>
    </xf>
    <xf numFmtId="0" fontId="0" fillId="5" borderId="19" xfId="0" applyFill="1" applyBorder="1" applyAlignment="1">
      <alignment horizontal="left" vertical="center" wrapText="1"/>
    </xf>
    <xf numFmtId="0" fontId="0" fillId="5" borderId="20" xfId="0" applyFill="1" applyBorder="1" applyAlignment="1">
      <alignment horizontal="left" vertical="center" wrapText="1"/>
    </xf>
    <xf numFmtId="0" fontId="76" fillId="0" borderId="32" xfId="0" applyFont="1" applyBorder="1" applyAlignment="1">
      <alignment vertical="top" wrapText="1"/>
    </xf>
    <xf numFmtId="3" fontId="101" fillId="0" borderId="6" xfId="0" applyNumberFormat="1" applyFont="1" applyBorder="1" applyAlignment="1">
      <alignment horizontal="right" vertical="top" shrinkToFit="1"/>
    </xf>
    <xf numFmtId="1" fontId="101" fillId="0" borderId="6" xfId="0" applyNumberFormat="1" applyFont="1" applyBorder="1" applyAlignment="1">
      <alignment horizontal="right" vertical="top" shrinkToFit="1"/>
    </xf>
    <xf numFmtId="3" fontId="101" fillId="5" borderId="23" xfId="0" applyNumberFormat="1" applyFont="1" applyFill="1" applyBorder="1" applyAlignment="1">
      <alignment horizontal="right" vertical="top" shrinkToFit="1"/>
    </xf>
    <xf numFmtId="3" fontId="101" fillId="0" borderId="24" xfId="0" applyNumberFormat="1" applyFont="1" applyBorder="1" applyAlignment="1">
      <alignment horizontal="right" vertical="top" shrinkToFit="1"/>
    </xf>
    <xf numFmtId="3" fontId="101" fillId="5" borderId="24" xfId="0" applyNumberFormat="1" applyFont="1" applyFill="1" applyBorder="1" applyAlignment="1">
      <alignment horizontal="right" vertical="top" shrinkToFit="1"/>
    </xf>
    <xf numFmtId="3" fontId="102" fillId="0" borderId="35" xfId="0" applyNumberFormat="1" applyFont="1" applyBorder="1" applyAlignment="1">
      <alignment vertical="top" wrapText="1"/>
    </xf>
    <xf numFmtId="1" fontId="112" fillId="0" borderId="36" xfId="0" applyNumberFormat="1" applyFont="1" applyBorder="1" applyAlignment="1">
      <alignment horizontal="right" vertical="top" shrinkToFit="1"/>
    </xf>
    <xf numFmtId="3" fontId="112" fillId="0" borderId="36" xfId="0" applyNumberFormat="1" applyFont="1" applyBorder="1" applyAlignment="1">
      <alignment horizontal="right" vertical="top" indent="1" shrinkToFit="1"/>
    </xf>
    <xf numFmtId="3" fontId="112" fillId="0" borderId="37" xfId="0" applyNumberFormat="1" applyFont="1" applyBorder="1" applyAlignment="1">
      <alignment horizontal="right" vertical="top" shrinkToFit="1"/>
    </xf>
    <xf numFmtId="3" fontId="100" fillId="6" borderId="16" xfId="0" applyNumberFormat="1" applyFont="1" applyFill="1" applyBorder="1" applyAlignment="1">
      <alignment horizontal="right" vertical="top" shrinkToFit="1"/>
    </xf>
    <xf numFmtId="3" fontId="100" fillId="6" borderId="15" xfId="0" applyNumberFormat="1" applyFont="1" applyFill="1" applyBorder="1" applyAlignment="1">
      <alignment horizontal="right" vertical="top" shrinkToFit="1"/>
    </xf>
    <xf numFmtId="0" fontId="76" fillId="0" borderId="14" xfId="0" applyFont="1" applyBorder="1" applyAlignment="1">
      <alignment horizontal="right" vertical="top" wrapText="1" indent="1"/>
    </xf>
    <xf numFmtId="3" fontId="0" fillId="5" borderId="19" xfId="0" applyNumberFormat="1" applyFill="1" applyBorder="1" applyAlignment="1">
      <alignment horizontal="left" wrapText="1"/>
    </xf>
    <xf numFmtId="3" fontId="102" fillId="0" borderId="40" xfId="0" applyNumberFormat="1" applyFont="1" applyBorder="1" applyAlignment="1">
      <alignment horizontal="right" vertical="top" wrapText="1"/>
    </xf>
    <xf numFmtId="3" fontId="113" fillId="0" borderId="40" xfId="0" applyNumberFormat="1" applyFont="1" applyBorder="1" applyAlignment="1">
      <alignment horizontal="right" vertical="top" shrinkToFit="1"/>
    </xf>
    <xf numFmtId="3" fontId="76" fillId="7" borderId="40" xfId="0" applyNumberFormat="1" applyFont="1" applyFill="1" applyBorder="1" applyAlignment="1">
      <alignment horizontal="right" vertical="top" wrapText="1"/>
    </xf>
    <xf numFmtId="3" fontId="76" fillId="7" borderId="14" xfId="0" applyNumberFormat="1" applyFont="1" applyFill="1" applyBorder="1" applyAlignment="1">
      <alignment horizontal="right" vertical="top" wrapText="1"/>
    </xf>
    <xf numFmtId="3" fontId="102" fillId="0" borderId="14" xfId="0" applyNumberFormat="1" applyFont="1" applyBorder="1" applyAlignment="1">
      <alignment horizontal="right" vertical="top" wrapText="1"/>
    </xf>
    <xf numFmtId="0" fontId="117" fillId="0" borderId="5" xfId="0" applyFont="1" applyBorder="1" applyAlignment="1">
      <alignment horizontal="left" vertical="top" wrapText="1"/>
    </xf>
    <xf numFmtId="0" fontId="98" fillId="0" borderId="6" xfId="0" applyFont="1" applyBorder="1" applyAlignment="1">
      <alignment horizontal="right" vertical="top" wrapText="1"/>
    </xf>
    <xf numFmtId="3" fontId="119" fillId="0" borderId="6" xfId="0" applyNumberFormat="1" applyFont="1" applyBorder="1" applyAlignment="1">
      <alignment horizontal="right" vertical="top" shrinkToFit="1"/>
    </xf>
    <xf numFmtId="0" fontId="98" fillId="5" borderId="23" xfId="0" applyFont="1" applyFill="1" applyBorder="1" applyAlignment="1">
      <alignment horizontal="right" vertical="top" wrapText="1"/>
    </xf>
    <xf numFmtId="0" fontId="98" fillId="0" borderId="24" xfId="0" applyFont="1" applyBorder="1" applyAlignment="1">
      <alignment horizontal="right" vertical="top" wrapText="1"/>
    </xf>
    <xf numFmtId="0" fontId="98" fillId="5" borderId="24" xfId="0" applyFont="1" applyFill="1" applyBorder="1" applyAlignment="1">
      <alignment horizontal="right" vertical="top" wrapText="1"/>
    </xf>
    <xf numFmtId="3" fontId="114" fillId="8" borderId="42" xfId="0" applyNumberFormat="1" applyFont="1" applyFill="1" applyBorder="1" applyAlignment="1">
      <alignment horizontal="right" vertical="top" shrinkToFit="1"/>
    </xf>
    <xf numFmtId="3" fontId="119" fillId="6" borderId="16" xfId="0" applyNumberFormat="1" applyFont="1" applyFill="1" applyBorder="1" applyAlignment="1">
      <alignment horizontal="right" vertical="top" shrinkToFit="1"/>
    </xf>
    <xf numFmtId="0" fontId="76" fillId="0" borderId="38" xfId="0" applyFont="1" applyBorder="1" applyAlignment="1">
      <alignment vertical="top" wrapText="1"/>
    </xf>
    <xf numFmtId="0" fontId="0" fillId="5" borderId="23" xfId="0" applyFill="1" applyBorder="1" applyAlignment="1">
      <alignment horizontal="left" vertical="center" wrapText="1"/>
    </xf>
    <xf numFmtId="0" fontId="0" fillId="9" borderId="14" xfId="0" applyFill="1" applyBorder="1" applyAlignment="1">
      <alignment horizontal="left" vertical="center" wrapText="1"/>
    </xf>
    <xf numFmtId="0" fontId="0" fillId="0" borderId="14" xfId="0" applyBorder="1" applyAlignment="1">
      <alignment vertical="center" wrapText="1"/>
    </xf>
    <xf numFmtId="0" fontId="0" fillId="0" borderId="2" xfId="0" applyBorder="1" applyAlignment="1">
      <alignment horizontal="left" vertical="top"/>
    </xf>
    <xf numFmtId="0" fontId="0" fillId="0" borderId="11" xfId="0" applyBorder="1" applyAlignment="1">
      <alignment horizontal="left" vertical="top"/>
    </xf>
    <xf numFmtId="0" fontId="0" fillId="0" borderId="0" xfId="0" applyAlignment="1">
      <alignment wrapText="1"/>
    </xf>
    <xf numFmtId="0" fontId="112" fillId="0" borderId="37" xfId="0" applyFont="1" applyBorder="1" applyAlignment="1">
      <alignment horizontal="left" vertical="top" wrapText="1"/>
    </xf>
    <xf numFmtId="0" fontId="0" fillId="15" borderId="0" xfId="0" applyFill="1"/>
    <xf numFmtId="0" fontId="0" fillId="0" borderId="0" xfId="0" applyAlignment="1">
      <alignment horizontal="center"/>
    </xf>
    <xf numFmtId="2" fontId="82" fillId="0" borderId="0" xfId="0" applyNumberFormat="1" applyFont="1"/>
    <xf numFmtId="2" fontId="2" fillId="0" borderId="0" xfId="0" applyNumberFormat="1" applyFont="1"/>
    <xf numFmtId="8" fontId="0" fillId="0" borderId="0" xfId="0" applyNumberFormat="1"/>
    <xf numFmtId="0" fontId="113" fillId="20" borderId="71" xfId="0" applyFont="1" applyFill="1" applyBorder="1" applyAlignment="1">
      <alignment horizontal="right" vertical="center" wrapText="1"/>
    </xf>
    <xf numFmtId="0" fontId="121" fillId="19" borderId="0" xfId="0" applyFont="1" applyFill="1"/>
    <xf numFmtId="171" fontId="0" fillId="0" borderId="0" xfId="0" applyNumberFormat="1"/>
    <xf numFmtId="8" fontId="0" fillId="0" borderId="72" xfId="0" applyNumberFormat="1" applyBorder="1"/>
    <xf numFmtId="8" fontId="0" fillId="0" borderId="73" xfId="0" applyNumberFormat="1" applyBorder="1"/>
    <xf numFmtId="14" fontId="0" fillId="0" borderId="0" xfId="0" applyNumberFormat="1"/>
    <xf numFmtId="0" fontId="125" fillId="20" borderId="76" xfId="0" applyFont="1" applyFill="1" applyBorder="1" applyAlignment="1">
      <alignment horizontal="left" vertical="center" wrapText="1"/>
    </xf>
    <xf numFmtId="0" fontId="125" fillId="20" borderId="76" xfId="0" applyFont="1" applyFill="1" applyBorder="1" applyAlignment="1">
      <alignment horizontal="right" vertical="center" wrapText="1"/>
    </xf>
    <xf numFmtId="0" fontId="126" fillId="20" borderId="76" xfId="2" applyFont="1" applyFill="1" applyBorder="1" applyAlignment="1">
      <alignment horizontal="left" vertical="center" wrapText="1"/>
    </xf>
    <xf numFmtId="4" fontId="127" fillId="20" borderId="76" xfId="0" applyNumberFormat="1" applyFont="1" applyFill="1" applyBorder="1" applyAlignment="1">
      <alignment horizontal="right" vertical="center" wrapText="1"/>
    </xf>
    <xf numFmtId="0" fontId="127" fillId="20" borderId="76" xfId="0" applyFont="1" applyFill="1" applyBorder="1" applyAlignment="1">
      <alignment horizontal="right" vertical="center" wrapText="1"/>
    </xf>
    <xf numFmtId="3" fontId="127" fillId="20" borderId="76" xfId="0" applyNumberFormat="1" applyFont="1" applyFill="1" applyBorder="1" applyAlignment="1">
      <alignment horizontal="right" vertical="center" wrapText="1"/>
    </xf>
    <xf numFmtId="0" fontId="128" fillId="0" borderId="74" xfId="0" applyFont="1" applyBorder="1" applyAlignment="1">
      <alignment vertical="top"/>
    </xf>
    <xf numFmtId="0" fontId="129" fillId="0" borderId="0" xfId="0" applyFont="1"/>
    <xf numFmtId="0" fontId="130" fillId="0" borderId="75" xfId="0" applyFont="1" applyBorder="1" applyAlignment="1">
      <alignment vertical="top"/>
    </xf>
    <xf numFmtId="4" fontId="114" fillId="20" borderId="77" xfId="0" applyNumberFormat="1" applyFont="1" applyFill="1" applyBorder="1" applyAlignment="1">
      <alignment horizontal="right" vertical="center"/>
    </xf>
    <xf numFmtId="0" fontId="131" fillId="20" borderId="77" xfId="0" applyFont="1" applyFill="1" applyBorder="1" applyAlignment="1">
      <alignment vertical="center"/>
    </xf>
    <xf numFmtId="0" fontId="15" fillId="0" borderId="0" xfId="1" applyNumberFormat="1" applyFont="1"/>
    <xf numFmtId="0" fontId="0" fillId="20" borderId="81" xfId="0" applyFill="1" applyBorder="1"/>
    <xf numFmtId="0" fontId="124" fillId="20" borderId="80" xfId="0" applyFont="1" applyFill="1" applyBorder="1" applyAlignment="1">
      <alignment horizontal="right" vertical="center" wrapText="1"/>
    </xf>
    <xf numFmtId="0" fontId="132" fillId="20" borderId="79" xfId="0" applyFont="1" applyFill="1" applyBorder="1" applyAlignment="1">
      <alignment horizontal="right" vertical="center" wrapText="1"/>
    </xf>
    <xf numFmtId="0" fontId="124" fillId="20" borderId="78" xfId="0" applyFont="1" applyFill="1" applyBorder="1" applyAlignment="1">
      <alignment horizontal="right" vertical="center" wrapText="1"/>
    </xf>
    <xf numFmtId="0" fontId="124" fillId="20" borderId="78" xfId="0" applyFont="1" applyFill="1" applyBorder="1" applyAlignment="1">
      <alignment horizontal="left" vertical="center" wrapText="1"/>
    </xf>
    <xf numFmtId="0" fontId="124" fillId="21" borderId="78" xfId="0" applyFont="1" applyFill="1" applyBorder="1" applyAlignment="1">
      <alignment horizontal="right" vertical="center" wrapText="1"/>
    </xf>
    <xf numFmtId="0" fontId="124" fillId="21" borderId="78" xfId="0" applyFont="1" applyFill="1" applyBorder="1" applyAlignment="1">
      <alignment horizontal="left" vertical="center" wrapText="1"/>
    </xf>
    <xf numFmtId="3" fontId="113" fillId="20" borderId="77" xfId="0" applyNumberFormat="1" applyFont="1" applyFill="1" applyBorder="1" applyAlignment="1">
      <alignment horizontal="right" vertical="center" wrapText="1"/>
    </xf>
    <xf numFmtId="0" fontId="126" fillId="20" borderId="0" xfId="2" applyFont="1" applyFill="1" applyBorder="1" applyAlignment="1">
      <alignment horizontal="left" vertical="center" wrapText="1"/>
    </xf>
    <xf numFmtId="0" fontId="127" fillId="20" borderId="0" xfId="0" applyFont="1" applyFill="1" applyAlignment="1">
      <alignment horizontal="right" vertical="center" wrapText="1"/>
    </xf>
    <xf numFmtId="4" fontId="127" fillId="20" borderId="0" xfId="0" applyNumberFormat="1" applyFont="1" applyFill="1" applyAlignment="1">
      <alignment horizontal="right" vertical="center" wrapText="1"/>
    </xf>
    <xf numFmtId="0" fontId="0" fillId="0" borderId="0" xfId="1" applyNumberFormat="1" applyFont="1"/>
    <xf numFmtId="0" fontId="124" fillId="20" borderId="0" xfId="0" applyFont="1" applyFill="1" applyAlignment="1">
      <alignment horizontal="right" vertical="center" wrapText="1"/>
    </xf>
    <xf numFmtId="0" fontId="0" fillId="20" borderId="0" xfId="0" applyFill="1"/>
    <xf numFmtId="0" fontId="124" fillId="3" borderId="78" xfId="0" applyFont="1" applyFill="1" applyBorder="1" applyAlignment="1">
      <alignment horizontal="right" vertical="center" wrapText="1"/>
    </xf>
    <xf numFmtId="0" fontId="132" fillId="3" borderId="79" xfId="0" applyFont="1" applyFill="1" applyBorder="1" applyAlignment="1">
      <alignment horizontal="left" vertical="center" wrapText="1"/>
    </xf>
    <xf numFmtId="0" fontId="133" fillId="3" borderId="78" xfId="0" applyFont="1" applyFill="1" applyBorder="1" applyAlignment="1">
      <alignment horizontal="left" vertical="center" wrapText="1"/>
    </xf>
    <xf numFmtId="17" fontId="132" fillId="3" borderId="79" xfId="0" applyNumberFormat="1" applyFont="1" applyFill="1" applyBorder="1" applyAlignment="1">
      <alignment horizontal="right" vertical="center" wrapText="1"/>
    </xf>
    <xf numFmtId="0" fontId="122" fillId="0" borderId="0" xfId="0" applyFont="1" applyAlignment="1">
      <alignment vertical="top"/>
    </xf>
    <xf numFmtId="0" fontId="131" fillId="22" borderId="77" xfId="0" applyFont="1" applyFill="1" applyBorder="1" applyAlignment="1">
      <alignment vertical="center"/>
    </xf>
    <xf numFmtId="4" fontId="114" fillId="22" borderId="77" xfId="0" applyNumberFormat="1" applyFont="1" applyFill="1" applyBorder="1" applyAlignment="1">
      <alignment horizontal="right" vertical="center"/>
    </xf>
    <xf numFmtId="0" fontId="134" fillId="0" borderId="0" xfId="0" applyFont="1"/>
    <xf numFmtId="0" fontId="135" fillId="0" borderId="74" xfId="0" applyFont="1" applyBorder="1" applyAlignment="1">
      <alignment vertical="top"/>
    </xf>
    <xf numFmtId="8" fontId="0" fillId="0" borderId="56" xfId="0" applyNumberFormat="1" applyBorder="1"/>
    <xf numFmtId="8" fontId="0" fillId="15" borderId="56" xfId="0" applyNumberFormat="1" applyFill="1" applyBorder="1"/>
    <xf numFmtId="2" fontId="124" fillId="20" borderId="0" xfId="0" applyNumberFormat="1" applyFont="1" applyFill="1" applyAlignment="1">
      <alignment horizontal="right" vertical="center" wrapText="1"/>
    </xf>
    <xf numFmtId="0" fontId="124" fillId="3" borderId="0" xfId="0" applyFont="1" applyFill="1" applyAlignment="1">
      <alignment horizontal="right" vertical="center" wrapText="1"/>
    </xf>
    <xf numFmtId="8" fontId="0" fillId="15" borderId="0" xfId="0" applyNumberFormat="1" applyFill="1"/>
    <xf numFmtId="0" fontId="136" fillId="0" borderId="0" xfId="0" applyFont="1"/>
    <xf numFmtId="0" fontId="3" fillId="0" borderId="0" xfId="0" applyFont="1" applyAlignment="1">
      <alignment horizontal="center"/>
    </xf>
    <xf numFmtId="0" fontId="10" fillId="23" borderId="82" xfId="0" applyFont="1" applyFill="1" applyBorder="1" applyAlignment="1">
      <alignment horizontal="center"/>
    </xf>
    <xf numFmtId="0" fontId="10" fillId="23" borderId="82" xfId="0" applyFont="1" applyFill="1" applyBorder="1"/>
    <xf numFmtId="0" fontId="11" fillId="0" borderId="0" xfId="0" applyFont="1"/>
    <xf numFmtId="8" fontId="11" fillId="0" borderId="0" xfId="0" applyNumberFormat="1" applyFont="1"/>
    <xf numFmtId="2" fontId="11" fillId="0" borderId="0" xfId="0" applyNumberFormat="1" applyFont="1"/>
    <xf numFmtId="0" fontId="137" fillId="3" borderId="0" xfId="0" applyFont="1" applyFill="1" applyAlignment="1">
      <alignment horizontal="left" vertical="center"/>
    </xf>
    <xf numFmtId="0" fontId="138" fillId="0" borderId="0" xfId="0" applyFont="1"/>
    <xf numFmtId="164" fontId="0" fillId="0" borderId="0" xfId="0" applyNumberFormat="1"/>
    <xf numFmtId="0" fontId="139" fillId="21" borderId="80" xfId="0" applyFont="1" applyFill="1" applyBorder="1" applyAlignment="1">
      <alignment horizontal="right" vertical="center" wrapText="1"/>
    </xf>
    <xf numFmtId="0" fontId="140" fillId="20" borderId="79" xfId="0" applyFont="1" applyFill="1" applyBorder="1" applyAlignment="1">
      <alignment horizontal="left" vertical="center" wrapText="1"/>
    </xf>
    <xf numFmtId="17" fontId="140" fillId="20" borderId="79" xfId="0" applyNumberFormat="1" applyFont="1" applyFill="1" applyBorder="1" applyAlignment="1">
      <alignment horizontal="right" vertical="center" wrapText="1"/>
    </xf>
    <xf numFmtId="0" fontId="141" fillId="20" borderId="78" xfId="0" applyFont="1" applyFill="1" applyBorder="1" applyAlignment="1">
      <alignment horizontal="left" vertical="center" wrapText="1"/>
    </xf>
    <xf numFmtId="0" fontId="127" fillId="20" borderId="78" xfId="0" applyFont="1" applyFill="1" applyBorder="1" applyAlignment="1">
      <alignment horizontal="right" vertical="center" wrapText="1"/>
    </xf>
    <xf numFmtId="0" fontId="141" fillId="21" borderId="78" xfId="0" applyFont="1" applyFill="1" applyBorder="1" applyAlignment="1">
      <alignment horizontal="left" vertical="center" wrapText="1"/>
    </xf>
    <xf numFmtId="0" fontId="127" fillId="21" borderId="78" xfId="0" applyFont="1" applyFill="1" applyBorder="1" applyAlignment="1">
      <alignment horizontal="right" vertical="center" wrapText="1"/>
    </xf>
    <xf numFmtId="0" fontId="141" fillId="20" borderId="78" xfId="0" applyFont="1" applyFill="1" applyBorder="1" applyAlignment="1">
      <alignment horizontal="left" vertical="center"/>
    </xf>
    <xf numFmtId="2" fontId="18" fillId="2" borderId="0" xfId="0" applyNumberFormat="1" applyFont="1" applyFill="1"/>
    <xf numFmtId="2" fontId="13" fillId="3" borderId="0" xfId="0" applyNumberFormat="1" applyFont="1" applyFill="1"/>
    <xf numFmtId="172" fontId="0" fillId="0" borderId="0" xfId="0" applyNumberFormat="1"/>
    <xf numFmtId="2" fontId="142" fillId="0" borderId="0" xfId="0" applyNumberFormat="1" applyFont="1"/>
    <xf numFmtId="0" fontId="123" fillId="0" borderId="0" xfId="0" applyFont="1" applyAlignment="1">
      <alignment horizontal="center"/>
    </xf>
    <xf numFmtId="0" fontId="6" fillId="0" borderId="0" xfId="0" applyFont="1" applyAlignment="1">
      <alignment horizontal="center"/>
    </xf>
    <xf numFmtId="0" fontId="69" fillId="13" borderId="0" xfId="0" applyFont="1" applyFill="1" applyAlignment="1">
      <alignment horizontal="center"/>
    </xf>
    <xf numFmtId="0" fontId="67" fillId="12" borderId="8" xfId="0" applyFont="1" applyFill="1" applyBorder="1" applyAlignment="1">
      <alignment horizontal="center"/>
    </xf>
    <xf numFmtId="0" fontId="62" fillId="12" borderId="8" xfId="0" applyFont="1" applyFill="1" applyBorder="1" applyAlignment="1">
      <alignment horizontal="center"/>
    </xf>
    <xf numFmtId="0" fontId="68" fillId="12" borderId="8" xfId="0" applyFont="1" applyFill="1" applyBorder="1" applyAlignment="1">
      <alignment horizontal="center"/>
    </xf>
    <xf numFmtId="0" fontId="117" fillId="0" borderId="6" xfId="0" applyFont="1" applyBorder="1" applyAlignment="1">
      <alignment horizontal="left" vertical="top" wrapText="1"/>
    </xf>
    <xf numFmtId="0" fontId="76" fillId="0" borderId="5" xfId="0" applyFont="1" applyBorder="1" applyAlignment="1">
      <alignment horizontal="left" vertical="top" wrapText="1"/>
    </xf>
    <xf numFmtId="0" fontId="98" fillId="0" borderId="0" xfId="0" applyFont="1" applyAlignment="1">
      <alignment horizontal="left" vertical="center" wrapText="1" indent="6"/>
    </xf>
    <xf numFmtId="0" fontId="76" fillId="5" borderId="8" xfId="0" applyFont="1" applyFill="1" applyBorder="1" applyAlignment="1">
      <alignment horizontal="left" vertical="center" wrapText="1"/>
    </xf>
    <xf numFmtId="0" fontId="76" fillId="5" borderId="9" xfId="0" applyFont="1" applyFill="1" applyBorder="1" applyAlignment="1">
      <alignment horizontal="left" vertical="center" wrapText="1"/>
    </xf>
    <xf numFmtId="0" fontId="76" fillId="5" borderId="7" xfId="0" applyFont="1" applyFill="1" applyBorder="1" applyAlignment="1">
      <alignment horizontal="center" vertical="top" wrapText="1"/>
    </xf>
    <xf numFmtId="0" fontId="76" fillId="5" borderId="15" xfId="0" applyFont="1" applyFill="1" applyBorder="1" applyAlignment="1">
      <alignment horizontal="center" vertical="top" wrapText="1"/>
    </xf>
    <xf numFmtId="0" fontId="76" fillId="5" borderId="16" xfId="0" applyFont="1" applyFill="1" applyBorder="1" applyAlignment="1">
      <alignment horizontal="left" vertical="top" wrapText="1" indent="2"/>
    </xf>
    <xf numFmtId="0" fontId="76" fillId="5" borderId="7" xfId="0" applyFont="1" applyFill="1" applyBorder="1" applyAlignment="1">
      <alignment horizontal="left" vertical="top" wrapText="1" indent="2"/>
    </xf>
    <xf numFmtId="0" fontId="76" fillId="5" borderId="15" xfId="0" applyFont="1" applyFill="1" applyBorder="1" applyAlignment="1">
      <alignment horizontal="left" vertical="top" wrapText="1" indent="2"/>
    </xf>
    <xf numFmtId="0" fontId="76" fillId="5" borderId="17" xfId="0" applyFont="1" applyFill="1" applyBorder="1" applyAlignment="1">
      <alignment horizontal="left" vertical="top" wrapText="1" indent="4"/>
    </xf>
    <xf numFmtId="0" fontId="76" fillId="5" borderId="10" xfId="0" applyFont="1" applyFill="1" applyBorder="1" applyAlignment="1">
      <alignment horizontal="left" vertical="top" wrapText="1" indent="4"/>
    </xf>
    <xf numFmtId="0" fontId="0" fillId="0" borderId="18" xfId="0" applyBorder="1" applyAlignment="1">
      <alignment horizontal="left" vertical="top" wrapText="1" indent="1"/>
    </xf>
    <xf numFmtId="0" fontId="76" fillId="0" borderId="18" xfId="0" applyFont="1" applyBorder="1" applyAlignment="1">
      <alignment horizontal="left" vertical="top" wrapText="1" indent="1"/>
    </xf>
    <xf numFmtId="0" fontId="0" fillId="0" borderId="22" xfId="0" applyBorder="1" applyAlignment="1">
      <alignment horizontal="left" vertical="center" wrapText="1"/>
    </xf>
    <xf numFmtId="0" fontId="0" fillId="0" borderId="5" xfId="0" applyBorder="1" applyAlignment="1">
      <alignment horizontal="left" vertical="center" wrapText="1"/>
    </xf>
    <xf numFmtId="3" fontId="101" fillId="0" borderId="5" xfId="0" applyNumberFormat="1" applyFont="1" applyBorder="1" applyAlignment="1">
      <alignment horizontal="left" vertical="top" indent="1" shrinkToFit="1"/>
    </xf>
    <xf numFmtId="3" fontId="102" fillId="0" borderId="5" xfId="0" applyNumberFormat="1" applyFont="1" applyBorder="1" applyAlignment="1">
      <alignment horizontal="left" vertical="top" wrapText="1" indent="1"/>
    </xf>
    <xf numFmtId="0" fontId="102" fillId="0" borderId="5" xfId="0" applyFont="1" applyBorder="1" applyAlignment="1">
      <alignment horizontal="left" vertical="top" wrapText="1" indent="1"/>
    </xf>
    <xf numFmtId="1" fontId="101" fillId="0" borderId="5" xfId="0" applyNumberFormat="1" applyFont="1" applyBorder="1" applyAlignment="1">
      <alignment horizontal="left" vertical="top" indent="2" shrinkToFit="1"/>
    </xf>
    <xf numFmtId="3" fontId="101" fillId="0" borderId="5" xfId="0" applyNumberFormat="1" applyFont="1" applyBorder="1" applyAlignment="1">
      <alignment horizontal="left" vertical="top" indent="2" shrinkToFit="1"/>
    </xf>
    <xf numFmtId="0" fontId="0" fillId="0" borderId="22" xfId="0" applyBorder="1" applyAlignment="1">
      <alignment horizontal="left" wrapText="1"/>
    </xf>
    <xf numFmtId="0" fontId="0" fillId="0" borderId="5" xfId="0" applyBorder="1" applyAlignment="1">
      <alignment horizontal="left" wrapText="1"/>
    </xf>
    <xf numFmtId="0" fontId="102" fillId="0" borderId="5" xfId="0" applyFont="1" applyBorder="1" applyAlignment="1">
      <alignment horizontal="right" vertical="top" wrapText="1"/>
    </xf>
    <xf numFmtId="0" fontId="76" fillId="0" borderId="18" xfId="0" applyFont="1" applyBorder="1" applyAlignment="1">
      <alignment horizontal="left" vertical="top" wrapText="1"/>
    </xf>
    <xf numFmtId="0" fontId="0" fillId="0" borderId="20" xfId="0" applyBorder="1" applyAlignment="1">
      <alignment horizontal="left" wrapText="1"/>
    </xf>
    <xf numFmtId="0" fontId="0" fillId="0" borderId="18" xfId="0" applyBorder="1" applyAlignment="1">
      <alignment horizontal="left" wrapText="1"/>
    </xf>
    <xf numFmtId="3" fontId="101" fillId="0" borderId="5" xfId="0" applyNumberFormat="1" applyFont="1" applyBorder="1" applyAlignment="1">
      <alignment horizontal="left" vertical="top" indent="3" shrinkToFit="1"/>
    </xf>
    <xf numFmtId="1" fontId="101" fillId="0" borderId="5" xfId="0" applyNumberFormat="1" applyFont="1" applyBorder="1" applyAlignment="1">
      <alignment horizontal="right" vertical="top" shrinkToFit="1"/>
    </xf>
    <xf numFmtId="1" fontId="101" fillId="0" borderId="5" xfId="0" applyNumberFormat="1" applyFont="1" applyBorder="1" applyAlignment="1">
      <alignment horizontal="left" vertical="top" indent="3" shrinkToFit="1"/>
    </xf>
    <xf numFmtId="3" fontId="100" fillId="0" borderId="6" xfId="0" applyNumberFormat="1" applyFont="1" applyBorder="1" applyAlignment="1">
      <alignment horizontal="left" vertical="top" shrinkToFit="1"/>
    </xf>
    <xf numFmtId="3" fontId="76" fillId="0" borderId="6" xfId="0" applyNumberFormat="1" applyFont="1" applyBorder="1" applyAlignment="1">
      <alignment horizontal="left" vertical="top" wrapText="1" indent="1"/>
    </xf>
    <xf numFmtId="0" fontId="76" fillId="0" borderId="6" xfId="0" applyFont="1" applyBorder="1" applyAlignment="1">
      <alignment horizontal="left" vertical="top" wrapText="1" indent="1"/>
    </xf>
    <xf numFmtId="3" fontId="100" fillId="6" borderId="7" xfId="0" applyNumberFormat="1" applyFont="1" applyFill="1" applyBorder="1" applyAlignment="1">
      <alignment horizontal="left" vertical="top" indent="1" shrinkToFit="1"/>
    </xf>
    <xf numFmtId="3" fontId="76" fillId="6" borderId="7" xfId="0" applyNumberFormat="1" applyFont="1" applyFill="1" applyBorder="1" applyAlignment="1">
      <alignment horizontal="left" vertical="top" wrapText="1" indent="1"/>
    </xf>
    <xf numFmtId="0" fontId="76" fillId="6" borderId="7" xfId="0" applyFont="1" applyFill="1" applyBorder="1" applyAlignment="1">
      <alignment horizontal="left" vertical="top" wrapText="1" indent="1"/>
    </xf>
    <xf numFmtId="0" fontId="0" fillId="0" borderId="20" xfId="0" applyBorder="1" applyAlignment="1">
      <alignment horizontal="left" vertical="center" wrapText="1"/>
    </xf>
    <xf numFmtId="0" fontId="0" fillId="0" borderId="18" xfId="0" applyBorder="1" applyAlignment="1">
      <alignment horizontal="left" vertical="center" wrapText="1"/>
    </xf>
    <xf numFmtId="1" fontId="101" fillId="0" borderId="5" xfId="0" applyNumberFormat="1" applyFont="1" applyBorder="1" applyAlignment="1">
      <alignment horizontal="left" vertical="top" shrinkToFit="1"/>
    </xf>
    <xf numFmtId="3" fontId="100" fillId="0" borderId="6" xfId="0" applyNumberFormat="1" applyFont="1" applyBorder="1" applyAlignment="1">
      <alignment horizontal="left" vertical="top" indent="1" shrinkToFit="1"/>
    </xf>
    <xf numFmtId="3" fontId="100" fillId="0" borderId="6" xfId="0" applyNumberFormat="1" applyFont="1" applyBorder="1" applyAlignment="1">
      <alignment horizontal="left" vertical="top" indent="2" shrinkToFit="1"/>
    </xf>
    <xf numFmtId="0" fontId="0" fillId="9" borderId="14" xfId="0" applyFill="1" applyBorder="1" applyAlignment="1">
      <alignment horizontal="left" wrapText="1"/>
    </xf>
    <xf numFmtId="0" fontId="0" fillId="0" borderId="24" xfId="0" applyBorder="1" applyAlignment="1">
      <alignment horizontal="left" vertical="center" wrapText="1"/>
    </xf>
    <xf numFmtId="0" fontId="0" fillId="0" borderId="6" xfId="0" applyBorder="1" applyAlignment="1">
      <alignment horizontal="left" vertical="center" wrapText="1"/>
    </xf>
    <xf numFmtId="3" fontId="119" fillId="6" borderId="7" xfId="0" applyNumberFormat="1" applyFont="1" applyFill="1" applyBorder="1" applyAlignment="1">
      <alignment horizontal="left" vertical="top" indent="2" shrinkToFit="1"/>
    </xf>
    <xf numFmtId="0" fontId="76" fillId="9" borderId="26" xfId="0" applyFont="1" applyFill="1" applyBorder="1" applyAlignment="1">
      <alignment horizontal="center" vertical="top" wrapText="1"/>
    </xf>
    <xf numFmtId="0" fontId="0" fillId="9" borderId="29" xfId="0" applyFill="1" applyBorder="1" applyAlignment="1">
      <alignment horizontal="left" vertical="center" wrapText="1"/>
    </xf>
    <xf numFmtId="3" fontId="119" fillId="0" borderId="6" xfId="0" applyNumberFormat="1" applyFont="1" applyBorder="1" applyAlignment="1">
      <alignment horizontal="left" vertical="top" shrinkToFit="1"/>
    </xf>
    <xf numFmtId="0" fontId="0" fillId="0" borderId="6" xfId="0" applyBorder="1" applyAlignment="1">
      <alignment horizontal="left" wrapText="1"/>
    </xf>
    <xf numFmtId="0" fontId="117" fillId="0" borderId="18" xfId="0" applyFont="1" applyBorder="1" applyAlignment="1">
      <alignment horizontal="left" vertical="top" wrapText="1"/>
    </xf>
    <xf numFmtId="0" fontId="98" fillId="6" borderId="7" xfId="0" applyFont="1" applyFill="1" applyBorder="1" applyAlignment="1">
      <alignment horizontal="left" vertical="top" wrapText="1" indent="1"/>
    </xf>
    <xf numFmtId="3" fontId="100" fillId="6" borderId="7" xfId="0" applyNumberFormat="1" applyFont="1" applyFill="1" applyBorder="1" applyAlignment="1">
      <alignment horizontal="left" vertical="top" shrinkToFit="1"/>
    </xf>
    <xf numFmtId="1" fontId="101" fillId="0" borderId="6" xfId="0" applyNumberFormat="1" applyFont="1" applyBorder="1" applyAlignment="1">
      <alignment horizontal="left" vertical="top" indent="2" shrinkToFit="1"/>
    </xf>
    <xf numFmtId="3" fontId="101" fillId="0" borderId="6" xfId="0" applyNumberFormat="1" applyFont="1" applyBorder="1" applyAlignment="1">
      <alignment horizontal="left" vertical="top" indent="3" shrinkToFit="1"/>
    </xf>
    <xf numFmtId="3" fontId="100" fillId="6" borderId="7" xfId="0" applyNumberFormat="1" applyFont="1" applyFill="1" applyBorder="1" applyAlignment="1">
      <alignment horizontal="left" vertical="top" indent="2" shrinkToFit="1"/>
    </xf>
    <xf numFmtId="0" fontId="76" fillId="7" borderId="14" xfId="0" applyFont="1" applyFill="1" applyBorder="1" applyAlignment="1">
      <alignment horizontal="left" vertical="top" wrapText="1" indent="9"/>
    </xf>
    <xf numFmtId="0" fontId="76" fillId="7" borderId="14" xfId="0" applyFont="1" applyFill="1" applyBorder="1" applyAlignment="1">
      <alignment horizontal="left" vertical="top" wrapText="1"/>
    </xf>
    <xf numFmtId="0" fontId="0" fillId="7" borderId="14" xfId="0" applyFill="1" applyBorder="1" applyAlignment="1">
      <alignment horizontal="left" vertical="top" wrapText="1" indent="1"/>
    </xf>
    <xf numFmtId="0" fontId="76" fillId="0" borderId="40" xfId="0" applyFont="1" applyBorder="1" applyAlignment="1">
      <alignment horizontal="left" vertical="top" wrapText="1"/>
    </xf>
    <xf numFmtId="0" fontId="0" fillId="0" borderId="40" xfId="0" applyBorder="1" applyAlignment="1">
      <alignment horizontal="left" vertical="center" wrapText="1"/>
    </xf>
    <xf numFmtId="0" fontId="0" fillId="7" borderId="40" xfId="0" applyFill="1" applyBorder="1" applyAlignment="1">
      <alignment horizontal="left" vertical="center" wrapText="1"/>
    </xf>
    <xf numFmtId="3" fontId="105" fillId="9" borderId="14" xfId="0" applyNumberFormat="1" applyFont="1" applyFill="1" applyBorder="1" applyAlignment="1">
      <alignment horizontal="left" vertical="top" indent="7" shrinkToFit="1"/>
    </xf>
    <xf numFmtId="0" fontId="76" fillId="7" borderId="32" xfId="0" applyFont="1" applyFill="1" applyBorder="1" applyAlignment="1">
      <alignment horizontal="left" vertical="center" wrapText="1"/>
    </xf>
    <xf numFmtId="0" fontId="76" fillId="7" borderId="36" xfId="0" applyFont="1" applyFill="1" applyBorder="1" applyAlignment="1">
      <alignment horizontal="left" vertical="center" wrapText="1"/>
    </xf>
    <xf numFmtId="0" fontId="76" fillId="0" borderId="12" xfId="0" applyFont="1" applyBorder="1" applyAlignment="1">
      <alignment horizontal="left" vertical="top" wrapText="1"/>
    </xf>
    <xf numFmtId="1" fontId="113" fillId="0" borderId="12" xfId="0" applyNumberFormat="1" applyFont="1" applyBorder="1" applyAlignment="1">
      <alignment horizontal="right" vertical="top" shrinkToFit="1"/>
    </xf>
    <xf numFmtId="0" fontId="102" fillId="0" borderId="12" xfId="0" applyFont="1" applyBorder="1" applyAlignment="1">
      <alignment horizontal="right" vertical="top" wrapText="1"/>
    </xf>
    <xf numFmtId="3" fontId="114" fillId="7" borderId="38" xfId="0" applyNumberFormat="1" applyFont="1" applyFill="1" applyBorder="1" applyAlignment="1">
      <alignment horizontal="left" vertical="top" indent="3" shrinkToFit="1"/>
    </xf>
    <xf numFmtId="3" fontId="114" fillId="7" borderId="39" xfId="0" applyNumberFormat="1" applyFont="1" applyFill="1" applyBorder="1" applyAlignment="1">
      <alignment horizontal="left" vertical="top" indent="3" shrinkToFit="1"/>
    </xf>
    <xf numFmtId="0" fontId="102" fillId="0" borderId="13" xfId="0" applyFont="1" applyBorder="1" applyAlignment="1">
      <alignment horizontal="right" vertical="top" wrapText="1"/>
    </xf>
    <xf numFmtId="3" fontId="114" fillId="10" borderId="38" xfId="0" applyNumberFormat="1" applyFont="1" applyFill="1" applyBorder="1" applyAlignment="1">
      <alignment horizontal="left" vertical="top" indent="3" shrinkToFit="1"/>
    </xf>
    <xf numFmtId="3" fontId="114" fillId="10" borderId="39" xfId="0" applyNumberFormat="1" applyFont="1" applyFill="1" applyBorder="1" applyAlignment="1">
      <alignment horizontal="left" vertical="top" indent="3" shrinkToFit="1"/>
    </xf>
    <xf numFmtId="3" fontId="113" fillId="0" borderId="12" xfId="0" applyNumberFormat="1" applyFont="1" applyBorder="1" applyAlignment="1">
      <alignment horizontal="left" vertical="top" indent="2" shrinkToFit="1"/>
    </xf>
    <xf numFmtId="3" fontId="113" fillId="0" borderId="12" xfId="0" applyNumberFormat="1" applyFont="1" applyBorder="1" applyAlignment="1">
      <alignment horizontal="left" vertical="top" indent="1" shrinkToFit="1"/>
    </xf>
    <xf numFmtId="3" fontId="113" fillId="0" borderId="12" xfId="0" applyNumberFormat="1" applyFont="1" applyBorder="1" applyAlignment="1">
      <alignment horizontal="left" vertical="top" indent="4" shrinkToFit="1"/>
    </xf>
    <xf numFmtId="3" fontId="102" fillId="0" borderId="12" xfId="0" applyNumberFormat="1" applyFont="1" applyBorder="1" applyAlignment="1">
      <alignment horizontal="left" vertical="top" wrapText="1" indent="1"/>
    </xf>
    <xf numFmtId="0" fontId="102" fillId="0" borderId="12" xfId="0" applyFont="1" applyBorder="1" applyAlignment="1">
      <alignment horizontal="left" vertical="top" wrapText="1" indent="1"/>
    </xf>
    <xf numFmtId="3" fontId="113" fillId="0" borderId="12" xfId="0" applyNumberFormat="1" applyFont="1" applyBorder="1" applyAlignment="1">
      <alignment horizontal="left" vertical="top" shrinkToFit="1"/>
    </xf>
    <xf numFmtId="0" fontId="0" fillId="0" borderId="12" xfId="0" applyBorder="1" applyAlignment="1">
      <alignment horizontal="left" wrapText="1"/>
    </xf>
    <xf numFmtId="0" fontId="0" fillId="7" borderId="12" xfId="0" applyFill="1" applyBorder="1" applyAlignment="1">
      <alignment horizontal="left" wrapText="1"/>
    </xf>
    <xf numFmtId="1" fontId="113" fillId="0" borderId="12" xfId="0" applyNumberFormat="1" applyFont="1" applyBorder="1" applyAlignment="1">
      <alignment horizontal="left" vertical="top" indent="2" shrinkToFit="1"/>
    </xf>
    <xf numFmtId="1" fontId="113" fillId="0" borderId="12" xfId="0" applyNumberFormat="1" applyFont="1" applyBorder="1" applyAlignment="1">
      <alignment horizontal="left" vertical="top" indent="3" shrinkToFit="1"/>
    </xf>
    <xf numFmtId="3" fontId="76" fillId="7" borderId="38" xfId="0" applyNumberFormat="1" applyFont="1" applyFill="1" applyBorder="1" applyAlignment="1">
      <alignment horizontal="left" vertical="top" wrapText="1" indent="1"/>
    </xf>
    <xf numFmtId="0" fontId="76" fillId="7" borderId="39" xfId="0" applyFont="1" applyFill="1" applyBorder="1" applyAlignment="1">
      <alignment horizontal="left" vertical="top" wrapText="1" indent="1"/>
    </xf>
    <xf numFmtId="3" fontId="114" fillId="7" borderId="38" xfId="0" applyNumberFormat="1" applyFont="1" applyFill="1" applyBorder="1" applyAlignment="1">
      <alignment horizontal="left" vertical="top" shrinkToFit="1"/>
    </xf>
    <xf numFmtId="3" fontId="114" fillId="7" borderId="39" xfId="0" applyNumberFormat="1" applyFont="1" applyFill="1" applyBorder="1" applyAlignment="1">
      <alignment horizontal="left" vertical="top" shrinkToFit="1"/>
    </xf>
    <xf numFmtId="0" fontId="0" fillId="0" borderId="40" xfId="0" applyBorder="1" applyAlignment="1">
      <alignment horizontal="left" wrapText="1"/>
    </xf>
    <xf numFmtId="0" fontId="0" fillId="7" borderId="40" xfId="0" applyFill="1" applyBorder="1" applyAlignment="1">
      <alignment horizontal="left" wrapText="1"/>
    </xf>
    <xf numFmtId="1" fontId="113" fillId="0" borderId="13" xfId="0" applyNumberFormat="1" applyFont="1" applyBorder="1" applyAlignment="1">
      <alignment horizontal="left" vertical="top" indent="3" shrinkToFit="1"/>
    </xf>
    <xf numFmtId="1" fontId="113" fillId="0" borderId="13" xfId="0" applyNumberFormat="1" applyFont="1" applyBorder="1" applyAlignment="1">
      <alignment horizontal="left" vertical="top" indent="2" shrinkToFit="1"/>
    </xf>
    <xf numFmtId="3" fontId="76" fillId="10" borderId="38" xfId="0" applyNumberFormat="1" applyFont="1" applyFill="1" applyBorder="1" applyAlignment="1">
      <alignment horizontal="left" vertical="top" wrapText="1" indent="1"/>
    </xf>
    <xf numFmtId="0" fontId="76" fillId="10" borderId="39" xfId="0" applyFont="1" applyFill="1" applyBorder="1" applyAlignment="1">
      <alignment horizontal="left" vertical="top" wrapText="1" indent="1"/>
    </xf>
    <xf numFmtId="3" fontId="114" fillId="10" borderId="38" xfId="0" applyNumberFormat="1" applyFont="1" applyFill="1" applyBorder="1" applyAlignment="1">
      <alignment horizontal="left" vertical="top" shrinkToFit="1"/>
    </xf>
    <xf numFmtId="3" fontId="114" fillId="10" borderId="39" xfId="0" applyNumberFormat="1" applyFont="1" applyFill="1" applyBorder="1" applyAlignment="1">
      <alignment horizontal="left" vertical="top" shrinkToFit="1"/>
    </xf>
    <xf numFmtId="0" fontId="0" fillId="0" borderId="40" xfId="0" applyBorder="1" applyAlignment="1">
      <alignment horizontal="left" vertical="top" wrapText="1"/>
    </xf>
    <xf numFmtId="1" fontId="113" fillId="0" borderId="13" xfId="0" applyNumberFormat="1" applyFont="1" applyBorder="1" applyAlignment="1">
      <alignment horizontal="right" vertical="top" shrinkToFit="1"/>
    </xf>
    <xf numFmtId="1" fontId="114" fillId="7" borderId="38" xfId="0" applyNumberFormat="1" applyFont="1" applyFill="1" applyBorder="1" applyAlignment="1">
      <alignment horizontal="right" vertical="top" shrinkToFit="1"/>
    </xf>
    <xf numFmtId="1" fontId="114" fillId="7" borderId="39" xfId="0" applyNumberFormat="1" applyFont="1" applyFill="1" applyBorder="1" applyAlignment="1">
      <alignment horizontal="right" vertical="top" shrinkToFit="1"/>
    </xf>
    <xf numFmtId="3" fontId="114" fillId="7" borderId="38" xfId="0" applyNumberFormat="1" applyFont="1" applyFill="1" applyBorder="1" applyAlignment="1">
      <alignment horizontal="left" vertical="top" indent="2" shrinkToFit="1"/>
    </xf>
    <xf numFmtId="3" fontId="114" fillId="7" borderId="39" xfId="0" applyNumberFormat="1" applyFont="1" applyFill="1" applyBorder="1" applyAlignment="1">
      <alignment horizontal="left" vertical="top" indent="2" shrinkToFit="1"/>
    </xf>
    <xf numFmtId="3" fontId="114" fillId="7" borderId="38" xfId="0" applyNumberFormat="1" applyFont="1" applyFill="1" applyBorder="1" applyAlignment="1">
      <alignment horizontal="left" vertical="top" indent="1" shrinkToFit="1"/>
    </xf>
    <xf numFmtId="3" fontId="114" fillId="7" borderId="39" xfId="0" applyNumberFormat="1" applyFont="1" applyFill="1" applyBorder="1" applyAlignment="1">
      <alignment horizontal="left" vertical="top" indent="1" shrinkToFit="1"/>
    </xf>
    <xf numFmtId="3" fontId="113" fillId="0" borderId="12" xfId="0" applyNumberFormat="1" applyFont="1" applyBorder="1" applyAlignment="1">
      <alignment horizontal="left" vertical="top" indent="3" shrinkToFit="1"/>
    </xf>
    <xf numFmtId="0" fontId="0" fillId="0" borderId="12" xfId="0" applyBorder="1" applyAlignment="1">
      <alignment horizontal="left" vertical="top" wrapText="1"/>
    </xf>
    <xf numFmtId="0" fontId="0" fillId="0" borderId="41" xfId="0" applyBorder="1" applyAlignment="1">
      <alignment horizontal="left" vertical="top" wrapText="1"/>
    </xf>
    <xf numFmtId="0" fontId="102" fillId="0" borderId="13" xfId="0" applyFont="1" applyBorder="1" applyAlignment="1">
      <alignment horizontal="left" vertical="top" wrapText="1"/>
    </xf>
    <xf numFmtId="0" fontId="102" fillId="0" borderId="43" xfId="0" applyFont="1" applyBorder="1" applyAlignment="1">
      <alignment horizontal="left" vertical="top" wrapText="1"/>
    </xf>
    <xf numFmtId="3" fontId="76" fillId="10" borderId="38" xfId="0" applyNumberFormat="1" applyFont="1" applyFill="1" applyBorder="1" applyAlignment="1">
      <alignment horizontal="left" vertical="top" wrapText="1"/>
    </xf>
    <xf numFmtId="0" fontId="76" fillId="10" borderId="39" xfId="0" applyFont="1" applyFill="1" applyBorder="1" applyAlignment="1">
      <alignment horizontal="left" vertical="top" wrapText="1"/>
    </xf>
    <xf numFmtId="3" fontId="113" fillId="0" borderId="40" xfId="0" applyNumberFormat="1" applyFont="1" applyBorder="1" applyAlignment="1">
      <alignment horizontal="left" vertical="top" indent="3" shrinkToFit="1"/>
    </xf>
    <xf numFmtId="3" fontId="102" fillId="0" borderId="40" xfId="0" applyNumberFormat="1" applyFont="1" applyBorder="1" applyAlignment="1">
      <alignment horizontal="left" vertical="top" wrapText="1" indent="2"/>
    </xf>
    <xf numFmtId="0" fontId="102" fillId="0" borderId="40" xfId="0" applyFont="1" applyBorder="1" applyAlignment="1">
      <alignment horizontal="left" vertical="top" wrapText="1" indent="2"/>
    </xf>
    <xf numFmtId="3" fontId="113" fillId="0" borderId="40" xfId="0" applyNumberFormat="1" applyFont="1" applyBorder="1" applyAlignment="1">
      <alignment horizontal="left" vertical="top" shrinkToFit="1"/>
    </xf>
    <xf numFmtId="3" fontId="113" fillId="0" borderId="13" xfId="0" applyNumberFormat="1" applyFont="1" applyBorder="1" applyAlignment="1">
      <alignment horizontal="left" vertical="top" indent="2" shrinkToFit="1"/>
    </xf>
    <xf numFmtId="0" fontId="74" fillId="0" borderId="0" xfId="0" applyFont="1" applyAlignment="1">
      <alignment horizontal="center"/>
    </xf>
    <xf numFmtId="0" fontId="75" fillId="0" borderId="0" xfId="0" applyFont="1" applyAlignment="1">
      <alignment horizontal="center"/>
    </xf>
    <xf numFmtId="0" fontId="79" fillId="16" borderId="0" xfId="0" applyFont="1" applyFill="1" applyAlignment="1">
      <alignment horizontal="center"/>
    </xf>
    <xf numFmtId="0" fontId="75" fillId="0" borderId="58" xfId="0" applyFont="1" applyBorder="1" applyAlignment="1">
      <alignment horizontal="center"/>
    </xf>
    <xf numFmtId="0" fontId="75" fillId="0" borderId="59" xfId="0" applyFont="1" applyBorder="1" applyAlignment="1">
      <alignment horizontal="center"/>
    </xf>
    <xf numFmtId="0" fontId="75" fillId="0" borderId="60" xfId="0" applyFont="1" applyBorder="1" applyAlignment="1">
      <alignment horizontal="center"/>
    </xf>
  </cellXfs>
  <cellStyles count="3">
    <cellStyle name="Hyperlink" xfId="2" builtinId="8"/>
    <cellStyle name="Normal" xfId="0" builtinId="0"/>
    <cellStyle name="Percent" xfId="1" builtinId="5"/>
  </cellStyles>
  <dxfs count="294">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b/>
        <i val="0"/>
        <strike val="0"/>
        <condense val="0"/>
        <extend val="0"/>
        <outline val="0"/>
        <shadow val="0"/>
        <u val="none"/>
        <vertAlign val="baseline"/>
        <sz val="10"/>
        <color rgb="FF000000"/>
        <name val="Times New Roman"/>
        <family val="1"/>
        <scheme val="none"/>
      </font>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b/>
        <i val="0"/>
        <strike val="0"/>
        <condense val="0"/>
        <extend val="0"/>
        <outline val="0"/>
        <shadow val="0"/>
        <u val="none"/>
        <vertAlign val="baseline"/>
        <sz val="10"/>
        <color theme="1"/>
        <name val="Times New Roman"/>
        <family val="1"/>
        <scheme val="none"/>
      </font>
      <alignment horizontal="left" vertical="top" textRotation="0" wrapText="0" indent="0" justifyLastLine="0" shrinkToFit="0" readingOrder="0"/>
    </dxf>
    <dxf>
      <font>
        <b/>
        <i val="0"/>
        <strike val="0"/>
        <condense val="0"/>
        <extend val="0"/>
        <outline val="0"/>
        <shadow val="0"/>
        <u val="none"/>
        <vertAlign val="baseline"/>
        <sz val="10"/>
        <color theme="1"/>
        <name val="Times New Roman"/>
        <family val="1"/>
        <scheme val="none"/>
      </font>
      <alignment horizontal="left" vertical="top" textRotation="0" wrapText="0" indent="0" justifyLastLine="0" shrinkToFit="0" readingOrder="0"/>
      <border diagonalUp="0" diagonalDown="0">
        <left/>
        <right style="thin">
          <color theme="9" tint="0.39997558519241921"/>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Times New Roman"/>
        <family val="1"/>
        <scheme val="none"/>
      </font>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Times New Roman"/>
        <family val="1"/>
        <scheme val="none"/>
      </font>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Times New Roman"/>
        <family val="1"/>
        <scheme val="none"/>
      </font>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Times New Roman"/>
        <family val="1"/>
        <scheme val="none"/>
      </font>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Times New Roman"/>
        <family val="1"/>
        <scheme val="none"/>
      </font>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Times New Roman"/>
        <family val="1"/>
        <scheme val="none"/>
      </font>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Times New Roman"/>
        <family val="1"/>
        <scheme val="none"/>
      </font>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Times New Roman"/>
        <family val="1"/>
        <scheme val="none"/>
      </font>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Times New Roman"/>
        <family val="1"/>
        <scheme val="none"/>
      </font>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border outline="0">
        <top style="thin">
          <color theme="9" tint="0.39997558519241921"/>
        </top>
      </border>
    </dxf>
    <dxf>
      <alignment horizontal="left" vertical="top" textRotation="0" wrapText="0" indent="0" justifyLastLine="0" shrinkToFit="0" readingOrder="0"/>
    </dxf>
    <dxf>
      <border outline="0">
        <bottom style="thin">
          <color theme="9" tint="0.39997558519241921"/>
        </bottom>
      </border>
    </dxf>
    <dxf>
      <font>
        <b/>
        <i val="0"/>
        <strike val="0"/>
        <condense val="0"/>
        <extend val="0"/>
        <outline val="0"/>
        <shadow val="0"/>
        <u val="none"/>
        <vertAlign val="baseline"/>
        <sz val="10"/>
        <color theme="1"/>
        <name val="Times New Roman"/>
        <family val="1"/>
        <scheme val="none"/>
      </font>
      <alignment horizontal="left" vertical="top" textRotation="0" wrapText="0" indent="0" justifyLastLine="0" shrinkToFit="0" readingOrder="0"/>
    </dxf>
    <dxf>
      <numFmt numFmtId="3" formatCode="#,##0"/>
    </dxf>
    <dxf>
      <border outline="0">
        <left style="thin">
          <color auto="1"/>
        </left>
      </border>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13" formatCode="0%"/>
    </dxf>
    <dxf>
      <numFmt numFmtId="3" formatCode="#,##0"/>
    </dxf>
    <dxf>
      <border outline="0">
        <left style="thin">
          <color auto="1"/>
        </left>
      </border>
    </dxf>
    <dxf>
      <numFmt numFmtId="3" formatCode="#,##0"/>
    </dxf>
    <dxf>
      <border outline="0">
        <left style="thin">
          <color auto="1"/>
        </left>
      </border>
    </dxf>
    <dxf>
      <border outline="0">
        <left style="thin">
          <color auto="1"/>
        </left>
      </border>
    </dxf>
    <dxf>
      <font>
        <b/>
        <strike val="0"/>
        <outline val="0"/>
        <shadow val="0"/>
        <u val="none"/>
        <vertAlign val="baseline"/>
        <sz val="11"/>
        <color rgb="FFFF0000"/>
        <name val="Calibri"/>
        <family val="2"/>
        <scheme val="minor"/>
      </font>
    </dxf>
    <dxf>
      <font>
        <b/>
        <strike val="0"/>
        <outline val="0"/>
        <shadow val="0"/>
        <u val="none"/>
        <vertAlign val="baseline"/>
        <sz val="11"/>
        <color rgb="FFFF0000"/>
        <name val="Calibri"/>
        <family val="2"/>
        <scheme val="minor"/>
      </font>
    </dxf>
    <dxf>
      <font>
        <b/>
        <strike val="0"/>
        <outline val="0"/>
        <shadow val="0"/>
        <u val="none"/>
        <vertAlign val="baseline"/>
        <sz val="11"/>
        <color rgb="FFFF0000"/>
        <name val="Calibri"/>
        <family val="2"/>
        <scheme val="minor"/>
      </font>
    </dxf>
    <dxf>
      <font>
        <b/>
        <strike val="0"/>
        <outline val="0"/>
        <shadow val="0"/>
        <u val="none"/>
        <vertAlign val="baseline"/>
        <sz val="11"/>
        <color rgb="FFFF0000"/>
        <name val="Calibri"/>
        <family val="2"/>
        <scheme val="minor"/>
      </font>
    </dxf>
    <dxf>
      <font>
        <b/>
        <strike val="0"/>
        <outline val="0"/>
        <shadow val="0"/>
        <u val="none"/>
        <vertAlign val="baseline"/>
        <sz val="11"/>
        <color rgb="FFFF0000"/>
        <name val="Calibri"/>
        <family val="2"/>
        <scheme val="minor"/>
      </font>
    </dxf>
    <dxf>
      <font>
        <b/>
        <strike val="0"/>
        <outline val="0"/>
        <shadow val="0"/>
        <u val="none"/>
        <vertAlign val="baseline"/>
        <sz val="11"/>
        <color rgb="FFFF0000"/>
        <name val="Calibri"/>
        <family val="2"/>
        <scheme val="minor"/>
      </font>
    </dxf>
    <dxf>
      <font>
        <b val="0"/>
        <strike val="0"/>
        <outline val="0"/>
        <shadow val="0"/>
        <u val="none"/>
        <vertAlign val="baseline"/>
        <sz val="11"/>
        <color rgb="FFFF0000"/>
        <name val="Calibri"/>
        <family val="2"/>
        <scheme val="minor"/>
      </font>
    </dxf>
    <dxf>
      <font>
        <b val="0"/>
        <strike val="0"/>
        <outline val="0"/>
        <shadow val="0"/>
        <u val="none"/>
        <vertAlign val="baseline"/>
        <sz val="11"/>
        <color rgb="FFFF0000"/>
        <name val="Calibri"/>
        <family val="2"/>
        <scheme val="minor"/>
      </font>
    </dxf>
    <dxf>
      <font>
        <b val="0"/>
        <i val="0"/>
        <strike val="0"/>
        <condense val="0"/>
        <extend val="0"/>
        <outline val="0"/>
        <shadow val="0"/>
        <u val="none"/>
        <vertAlign val="baseline"/>
        <sz val="11"/>
        <color theme="1"/>
        <name val="Calibri"/>
        <family val="2"/>
        <scheme val="minor"/>
      </font>
      <numFmt numFmtId="14" formatCode="0.00%"/>
    </dxf>
    <dxf>
      <alignment horizontal="right" textRotation="0" indent="0" justifyLastLine="0" readingOrder="0"/>
      <border diagonalUp="0" diagonalDown="0">
        <left style="hair">
          <color auto="1"/>
        </left>
        <right style="hair">
          <color auto="1"/>
        </right>
        <top style="hair">
          <color auto="1"/>
        </top>
        <bottom style="hair">
          <color auto="1"/>
        </bottom>
      </border>
    </dxf>
    <dxf>
      <numFmt numFmtId="0" formatCode="General"/>
      <alignment horizontal="right" textRotation="0" indent="0" justifyLastLine="0" readingOrder="0"/>
      <border diagonalUp="0" diagonalDown="0">
        <left style="hair">
          <color auto="1"/>
        </left>
        <right style="hair">
          <color auto="1"/>
        </right>
        <top style="hair">
          <color auto="1"/>
        </top>
        <bottom style="hair">
          <color auto="1"/>
        </bottom>
      </border>
    </dxf>
    <dxf>
      <alignment horizontal="right" textRotation="0" indent="0" justifyLastLine="0" readingOrder="0"/>
      <border diagonalUp="0" diagonalDown="0">
        <left style="hair">
          <color auto="1"/>
        </left>
        <right style="hair">
          <color auto="1"/>
        </right>
        <top style="hair">
          <color auto="1"/>
        </top>
        <bottom style="hair">
          <color auto="1"/>
        </bottom>
      </border>
    </dxf>
    <dxf>
      <alignment horizontal="right" textRotation="0" indent="0" justifyLastLine="0" readingOrder="0"/>
      <border diagonalUp="0" diagonalDown="0" outline="0">
        <left style="hair">
          <color auto="1"/>
        </left>
        <right style="hair">
          <color auto="1"/>
        </right>
        <top style="hair">
          <color auto="1"/>
        </top>
        <bottom style="hair">
          <color auto="1"/>
        </bottom>
      </border>
    </dxf>
    <dxf>
      <alignment horizontal="right" textRotation="0" indent="0" justifyLastLine="0" readingOrder="0"/>
      <border diagonalUp="0" diagonalDown="0" outline="0">
        <left style="hair">
          <color auto="1"/>
        </left>
        <right style="hair">
          <color auto="1"/>
        </right>
        <top style="hair">
          <color auto="1"/>
        </top>
        <bottom style="hair">
          <color auto="1"/>
        </bottom>
      </border>
    </dxf>
    <dxf>
      <alignment horizontal="right" textRotation="0" indent="0" justifyLastLine="0" readingOrder="0"/>
      <border diagonalUp="0" diagonalDown="0" outline="0">
        <left style="hair">
          <color auto="1"/>
        </left>
        <right style="hair">
          <color auto="1"/>
        </right>
        <top style="hair">
          <color auto="1"/>
        </top>
        <bottom style="hair">
          <color auto="1"/>
        </bottom>
      </border>
    </dxf>
    <dxf>
      <border diagonalUp="0" diagonalDown="0" outline="0">
        <left style="hair">
          <color auto="1"/>
        </left>
        <right style="hair">
          <color auto="1"/>
        </right>
        <top style="hair">
          <color auto="1"/>
        </top>
        <bottom style="hair">
          <color auto="1"/>
        </bottom>
      </border>
    </dxf>
    <dxf>
      <border outline="0">
        <top style="thin">
          <color rgb="FF0095D5"/>
        </top>
        <bottom style="thin">
          <color rgb="FF0095D5"/>
        </bottom>
      </border>
    </dxf>
    <dxf>
      <border outline="0">
        <bottom style="thin">
          <color rgb="FFB1B3B6"/>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8.5"/>
        <color auto="1"/>
        <name val="Calibri"/>
        <family val="2"/>
        <scheme val="none"/>
      </font>
      <fill>
        <patternFill patternType="none">
          <fgColor indexed="64"/>
          <bgColor auto="1"/>
        </patternFill>
      </fill>
      <alignment horizontal="general" vertical="top" textRotation="0" wrapText="1" indent="0" justifyLastLine="0" shrinkToFit="0" readingOrder="0"/>
      <border diagonalUp="0" diagonalDown="0" outline="0">
        <left/>
        <right/>
        <top/>
        <bottom style="thin">
          <color rgb="FFB1B3B6"/>
        </bottom>
      </border>
    </dxf>
    <dxf>
      <border outline="0">
        <top style="thin">
          <color rgb="FF0095D5"/>
        </top>
        <bottom style="thin">
          <color rgb="FF0095D5"/>
        </bottom>
      </border>
    </dxf>
    <dxf>
      <fill>
        <patternFill patternType="none">
          <fgColor indexed="64"/>
          <bgColor auto="1"/>
        </patternFill>
      </fill>
    </dxf>
    <dxf>
      <border outline="0">
        <bottom style="thin">
          <color rgb="FFB1B3B6"/>
        </bottom>
      </border>
    </dxf>
    <dxf>
      <fill>
        <patternFill patternType="none">
          <fgColor indexed="64"/>
          <bgColor auto="1"/>
        </patternFill>
      </fill>
    </dxf>
    <dxf>
      <font>
        <strike val="0"/>
        <outline val="0"/>
        <shadow val="0"/>
        <name val="Calibri"/>
        <family val="2"/>
        <scheme val="minor"/>
      </font>
      <numFmt numFmtId="169" formatCode="0.0"/>
    </dxf>
    <dxf>
      <font>
        <strike val="0"/>
        <outline val="0"/>
        <shadow val="0"/>
        <name val="Calibri"/>
        <family val="2"/>
        <scheme val="minor"/>
      </font>
      <numFmt numFmtId="169" formatCode="0.0"/>
    </dxf>
    <dxf>
      <font>
        <strike val="0"/>
        <outline val="0"/>
        <shadow val="0"/>
        <name val="Calibri"/>
        <family val="2"/>
        <scheme val="minor"/>
      </font>
      <numFmt numFmtId="169" formatCode="0.0"/>
    </dxf>
    <dxf>
      <font>
        <strike val="0"/>
        <outline val="0"/>
        <shadow val="0"/>
        <name val="Calibri"/>
        <family val="2"/>
        <scheme val="minor"/>
      </font>
      <numFmt numFmtId="169" formatCode="0.0"/>
    </dxf>
    <dxf>
      <font>
        <strike val="0"/>
        <outline val="0"/>
        <shadow val="0"/>
        <name val="Calibri"/>
        <family val="2"/>
        <scheme val="minor"/>
      </font>
      <numFmt numFmtId="169" formatCode="0.0"/>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strike val="0"/>
        <outline val="0"/>
        <shadow val="0"/>
        <name val="Calibri"/>
        <family val="2"/>
        <scheme val="minor"/>
      </font>
      <numFmt numFmtId="13" formatCode="0%"/>
    </dxf>
    <dxf>
      <font>
        <strike val="0"/>
        <outline val="0"/>
        <shadow val="0"/>
        <name val="Calibri"/>
        <family val="2"/>
        <scheme val="minor"/>
      </font>
      <numFmt numFmtId="13" formatCode="0%"/>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name val="Calibri"/>
        <family val="2"/>
        <scheme val="minor"/>
      </font>
    </dxf>
    <dxf>
      <font>
        <strike val="0"/>
        <outline val="0"/>
        <shadow val="0"/>
        <u val="none"/>
        <vertAlign val="baseline"/>
        <sz val="11"/>
        <color theme="1"/>
        <name val="Arial Black"/>
        <family val="2"/>
        <scheme val="none"/>
      </font>
    </dxf>
    <dxf>
      <font>
        <strike val="0"/>
        <outline val="0"/>
        <shadow val="0"/>
        <u val="none"/>
        <vertAlign val="baseline"/>
        <sz val="11"/>
        <color theme="1"/>
        <name val="Arial Black"/>
        <family val="2"/>
        <scheme val="none"/>
      </font>
    </dxf>
    <dxf>
      <font>
        <strike val="0"/>
        <outline val="0"/>
        <shadow val="0"/>
        <u val="none"/>
        <vertAlign val="baseline"/>
        <sz val="11"/>
        <color theme="1"/>
        <name val="Arial Black"/>
        <family val="2"/>
        <scheme val="none"/>
      </font>
    </dxf>
    <dxf>
      <font>
        <strike val="0"/>
        <outline val="0"/>
        <shadow val="0"/>
        <u val="none"/>
        <vertAlign val="baseline"/>
        <sz val="11"/>
        <color theme="1"/>
        <name val="Arial Black"/>
        <family val="2"/>
        <scheme val="none"/>
      </font>
    </dxf>
    <dxf>
      <font>
        <strike val="0"/>
        <outline val="0"/>
        <shadow val="0"/>
        <u val="none"/>
        <vertAlign val="baseline"/>
        <sz val="11"/>
        <color theme="1"/>
        <name val="Arial Black"/>
        <family val="2"/>
        <scheme val="none"/>
      </font>
    </dxf>
    <dxf>
      <font>
        <strike val="0"/>
        <outline val="0"/>
        <shadow val="0"/>
        <u val="none"/>
        <vertAlign val="baseline"/>
        <sz val="11"/>
        <color theme="1"/>
        <name val="Arial Black"/>
        <family val="2"/>
        <scheme val="none"/>
      </font>
    </dxf>
    <dxf>
      <font>
        <strike val="0"/>
        <outline val="0"/>
        <shadow val="0"/>
        <u val="none"/>
        <vertAlign val="baseline"/>
        <sz val="11"/>
        <color theme="1"/>
        <name val="Arial Black"/>
        <family val="2"/>
        <scheme val="none"/>
      </font>
    </dxf>
    <dxf>
      <font>
        <strike val="0"/>
        <outline val="0"/>
        <shadow val="0"/>
        <u val="none"/>
        <vertAlign val="baseline"/>
        <sz val="11"/>
        <color theme="1"/>
        <name val="Arial Black"/>
        <family val="2"/>
        <scheme val="none"/>
      </font>
    </dxf>
    <dxf>
      <font>
        <strike val="0"/>
        <outline val="0"/>
        <shadow val="0"/>
        <u val="none"/>
        <vertAlign val="baseline"/>
        <sz val="11"/>
        <color theme="1"/>
        <name val="Arial Black"/>
        <family val="2"/>
        <scheme val="none"/>
      </font>
    </dxf>
    <dxf>
      <font>
        <strike val="0"/>
        <outline val="0"/>
        <shadow val="0"/>
        <u val="none"/>
        <vertAlign val="baseline"/>
        <sz val="11"/>
        <color theme="1"/>
        <name val="Arial Black"/>
        <family val="2"/>
        <scheme val="none"/>
      </font>
    </dxf>
    <dxf>
      <font>
        <strike val="0"/>
        <outline val="0"/>
        <shadow val="0"/>
        <u val="none"/>
        <vertAlign val="baseline"/>
        <sz val="11"/>
        <color theme="1"/>
        <name val="Arial Black"/>
        <family val="2"/>
        <scheme val="none"/>
      </font>
    </dxf>
    <dxf>
      <font>
        <strike val="0"/>
        <outline val="0"/>
        <shadow val="0"/>
        <u val="none"/>
        <vertAlign val="baseline"/>
        <sz val="11"/>
        <color theme="1"/>
        <name val="Arial Black"/>
        <family val="2"/>
        <scheme val="none"/>
      </font>
    </dxf>
    <dxf>
      <font>
        <strike val="0"/>
        <outline val="0"/>
        <shadow val="0"/>
        <u val="none"/>
        <vertAlign val="baseline"/>
        <sz val="11"/>
        <color theme="1"/>
        <name val="Arial Black"/>
        <family val="2"/>
        <scheme val="none"/>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numFmt numFmtId="1" formatCode="0"/>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numFmt numFmtId="3" formatCode="#,##0"/>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Times New Roman"/>
        <family val="1"/>
        <scheme val="none"/>
      </font>
      <numFmt numFmtId="4" formatCode="#,##0.00"/>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i val="0"/>
        <strike val="0"/>
        <condense val="0"/>
        <extend val="0"/>
        <outline val="0"/>
        <shadow val="0"/>
        <u val="none"/>
        <vertAlign val="baseline"/>
        <sz val="12"/>
        <color theme="1"/>
        <name val="Times New Roman"/>
        <family val="1"/>
        <scheme val="none"/>
      </font>
      <numFmt numFmtId="4" formatCode="#,##0.00"/>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i val="0"/>
        <strike val="0"/>
        <condense val="0"/>
        <extend val="0"/>
        <outline val="0"/>
        <shadow val="0"/>
        <u val="none"/>
        <vertAlign val="baseline"/>
        <sz val="12"/>
        <color theme="1"/>
        <name val="Times New Roman"/>
        <family val="1"/>
        <scheme val="none"/>
      </font>
      <numFmt numFmtId="4" formatCode="#,##0.00"/>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i val="0"/>
        <strike val="0"/>
        <condense val="0"/>
        <extend val="0"/>
        <outline val="0"/>
        <shadow val="0"/>
        <u val="none"/>
        <vertAlign val="baseline"/>
        <sz val="12"/>
        <color theme="1"/>
        <name val="Times New Roman"/>
        <family val="1"/>
        <scheme val="none"/>
      </font>
      <numFmt numFmtId="4" formatCode="#,##0.00"/>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i val="0"/>
        <strike val="0"/>
        <condense val="0"/>
        <extend val="0"/>
        <outline val="0"/>
        <shadow val="0"/>
        <u val="none"/>
        <vertAlign val="baseline"/>
        <sz val="12"/>
        <color theme="1"/>
        <name val="Times New Roman"/>
        <family val="1"/>
        <scheme val="none"/>
      </font>
      <numFmt numFmtId="4" formatCode="#,##0.00"/>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i val="0"/>
        <strike val="0"/>
        <condense val="0"/>
        <extend val="0"/>
        <outline val="0"/>
        <shadow val="0"/>
        <u val="none"/>
        <vertAlign val="baseline"/>
        <sz val="12"/>
        <color theme="1"/>
        <name val="Times New Roman"/>
        <family val="1"/>
        <scheme val="none"/>
      </font>
      <numFmt numFmtId="4" formatCode="#,##0.00"/>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i val="0"/>
        <strike val="0"/>
        <condense val="0"/>
        <extend val="0"/>
        <outline val="0"/>
        <shadow val="0"/>
        <u val="none"/>
        <vertAlign val="baseline"/>
        <sz val="12"/>
        <color theme="1"/>
        <name val="Times New Roman"/>
        <family val="1"/>
        <scheme val="none"/>
      </font>
      <numFmt numFmtId="4" formatCode="#,##0.00"/>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i val="0"/>
        <strike val="0"/>
        <condense val="0"/>
        <extend val="0"/>
        <outline val="0"/>
        <shadow val="0"/>
        <u val="none"/>
        <vertAlign val="baseline"/>
        <sz val="12"/>
        <color theme="1"/>
        <name val="Times New Roman"/>
        <family val="1"/>
        <scheme val="none"/>
      </font>
      <numFmt numFmtId="4" formatCode="#,##0.00"/>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i val="0"/>
        <strike val="0"/>
        <condense val="0"/>
        <extend val="0"/>
        <outline val="0"/>
        <shadow val="0"/>
        <u val="none"/>
        <vertAlign val="baseline"/>
        <sz val="12"/>
        <color theme="1"/>
        <name val="Times New Roman"/>
        <family val="1"/>
        <scheme val="none"/>
      </font>
      <numFmt numFmtId="4" formatCode="#,##0.00"/>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i val="0"/>
        <strike val="0"/>
        <condense val="0"/>
        <extend val="0"/>
        <outline val="0"/>
        <shadow val="0"/>
        <u val="none"/>
        <vertAlign val="baseline"/>
        <sz val="12"/>
        <color theme="1"/>
        <name val="Times New Roman"/>
        <family val="1"/>
        <scheme val="none"/>
      </font>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i val="0"/>
        <strike val="0"/>
        <condense val="0"/>
        <extend val="0"/>
        <outline val="0"/>
        <shadow val="0"/>
        <u val="none"/>
        <vertAlign val="baseline"/>
        <sz val="12"/>
        <color theme="1"/>
        <name val="Times New Roman"/>
        <family val="1"/>
        <scheme val="none"/>
      </font>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i val="0"/>
        <strike val="0"/>
        <condense val="0"/>
        <extend val="0"/>
        <outline val="0"/>
        <shadow val="0"/>
        <u val="none"/>
        <vertAlign val="baseline"/>
        <sz val="12"/>
        <color theme="1"/>
        <name val="Times New Roman"/>
        <family val="1"/>
        <scheme val="none"/>
      </font>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i val="0"/>
        <strike val="0"/>
        <condense val="0"/>
        <extend val="0"/>
        <outline val="0"/>
        <shadow val="0"/>
        <u val="none"/>
        <vertAlign val="baseline"/>
        <sz val="12"/>
        <color theme="1"/>
        <name val="Times New Roman"/>
        <family val="1"/>
        <scheme val="none"/>
      </font>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i val="0"/>
        <strike val="0"/>
        <condense val="0"/>
        <extend val="0"/>
        <outline val="0"/>
        <shadow val="0"/>
        <u val="none"/>
        <vertAlign val="baseline"/>
        <sz val="12"/>
        <color theme="1"/>
        <name val="Times New Roman"/>
        <family val="1"/>
        <scheme val="none"/>
      </font>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i val="0"/>
        <strike val="0"/>
        <condense val="0"/>
        <extend val="0"/>
        <outline val="0"/>
        <shadow val="0"/>
        <u val="none"/>
        <vertAlign val="baseline"/>
        <sz val="12"/>
        <color theme="1"/>
        <name val="Times New Roman"/>
        <family val="1"/>
        <scheme val="none"/>
      </font>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i val="0"/>
        <strike val="0"/>
        <condense val="0"/>
        <extend val="0"/>
        <outline val="0"/>
        <shadow val="0"/>
        <u val="none"/>
        <vertAlign val="baseline"/>
        <sz val="12"/>
        <color theme="1"/>
        <name val="Times New Roman"/>
        <family val="1"/>
        <scheme val="none"/>
      </font>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i val="0"/>
        <strike val="0"/>
        <condense val="0"/>
        <extend val="0"/>
        <outline val="0"/>
        <shadow val="0"/>
        <u val="none"/>
        <vertAlign val="baseline"/>
        <sz val="12"/>
        <color theme="1"/>
        <name val="Times New Roman"/>
        <family val="1"/>
        <scheme val="none"/>
      </font>
      <alignment horizontal="left"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0"/>
        <name val="Tahoma"/>
        <family val="2"/>
        <scheme val="none"/>
      </font>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name val="Arial Black"/>
        <family val="2"/>
        <scheme val="none"/>
      </font>
      <numFmt numFmtId="0" formatCode="General"/>
      <fill>
        <patternFill>
          <fgColor indexed="64"/>
          <bgColor theme="0"/>
        </patternFill>
      </fill>
      <border diagonalUp="0" diagonalDown="0" outline="0">
        <left style="hair">
          <color auto="1"/>
        </left>
        <right style="hair">
          <color auto="1"/>
        </right>
        <top style="hair">
          <color auto="1"/>
        </top>
        <bottom style="hair">
          <color auto="1"/>
        </bottom>
      </border>
    </dxf>
    <dxf>
      <fill>
        <patternFill patternType="none">
          <fgColor indexed="64"/>
          <bgColor indexed="65"/>
        </patternFill>
      </fill>
    </dxf>
    <dxf>
      <font>
        <strike val="0"/>
        <outline val="0"/>
        <shadow val="0"/>
        <u val="none"/>
        <vertAlign val="baseline"/>
        <sz val="11"/>
        <name val="Arial Black"/>
        <family val="2"/>
        <scheme val="none"/>
      </font>
      <fill>
        <patternFill>
          <fgColor indexed="64"/>
          <bgColor theme="0"/>
        </patternFill>
      </fill>
    </dxf>
    <dxf>
      <fill>
        <patternFill patternType="none">
          <fgColor indexed="64"/>
          <bgColor indexed="65"/>
        </patternFill>
      </fill>
    </dxf>
    <dxf>
      <font>
        <strike val="0"/>
        <outline val="0"/>
        <shadow val="0"/>
        <u val="none"/>
        <vertAlign val="baseline"/>
        <sz val="11"/>
        <name val="Arial Black"/>
        <family val="2"/>
        <scheme val="none"/>
      </font>
      <numFmt numFmtId="0" formatCode="General"/>
      <fill>
        <patternFill>
          <fgColor indexed="64"/>
          <bgColor theme="0"/>
        </patternFill>
      </fill>
    </dxf>
    <dxf>
      <fill>
        <patternFill patternType="none">
          <fgColor indexed="64"/>
          <bgColor indexed="65"/>
        </patternFill>
      </fill>
    </dxf>
    <dxf>
      <font>
        <strike val="0"/>
        <outline val="0"/>
        <shadow val="0"/>
        <u val="none"/>
        <vertAlign val="baseline"/>
        <sz val="11"/>
        <name val="Arial Black"/>
        <family val="2"/>
        <scheme val="none"/>
      </font>
      <numFmt numFmtId="0" formatCode="General"/>
      <fill>
        <patternFill>
          <fgColor indexed="64"/>
          <bgColor theme="0"/>
        </patternFill>
      </fill>
    </dxf>
    <dxf>
      <fill>
        <patternFill patternType="none">
          <fgColor indexed="64"/>
          <bgColor indexed="65"/>
        </patternFill>
      </fill>
    </dxf>
    <dxf>
      <font>
        <strike val="0"/>
        <outline val="0"/>
        <shadow val="0"/>
        <u val="none"/>
        <vertAlign val="baseline"/>
        <sz val="11"/>
        <name val="Arial Black"/>
        <family val="2"/>
        <scheme val="none"/>
      </font>
      <fill>
        <patternFill>
          <fgColor indexed="64"/>
          <bgColor theme="0"/>
        </patternFill>
      </fill>
    </dxf>
    <dxf>
      <font>
        <strike val="0"/>
        <outline val="0"/>
        <shadow val="0"/>
        <u val="none"/>
        <vertAlign val="baseline"/>
        <sz val="11"/>
        <name val="Arial Black"/>
        <family val="2"/>
        <scheme val="none"/>
      </font>
      <fill>
        <patternFill patternType="none">
          <fgColor indexed="64"/>
          <bgColor theme="0"/>
        </patternFill>
      </fill>
    </dxf>
    <dxf>
      <font>
        <strike val="0"/>
        <outline val="0"/>
        <shadow val="0"/>
        <u val="none"/>
        <vertAlign val="baseline"/>
        <name val="Calibri"/>
        <family val="2"/>
        <scheme val="none"/>
      </font>
      <numFmt numFmtId="0" formatCode="General"/>
    </dxf>
    <dxf>
      <font>
        <strike val="0"/>
        <outline val="0"/>
        <shadow val="0"/>
        <u val="none"/>
        <vertAlign val="baseline"/>
        <name val="Calibri"/>
        <family val="2"/>
        <scheme val="none"/>
      </font>
      <numFmt numFmtId="0" formatCode="General"/>
    </dxf>
    <dxf>
      <font>
        <strike val="0"/>
        <outline val="0"/>
        <shadow val="0"/>
        <u val="none"/>
        <vertAlign val="baseline"/>
        <name val="Calibri"/>
        <family val="2"/>
        <scheme val="none"/>
      </font>
      <numFmt numFmtId="0" formatCode="General"/>
    </dxf>
    <dxf>
      <font>
        <strike val="0"/>
        <outline val="0"/>
        <shadow val="0"/>
        <u val="none"/>
        <vertAlign val="baseline"/>
        <name val="Calibri"/>
        <family val="2"/>
        <scheme val="none"/>
      </font>
    </dxf>
    <dxf>
      <font>
        <b/>
        <strike val="0"/>
        <outline val="0"/>
        <shadow val="0"/>
        <u val="none"/>
        <vertAlign val="baseline"/>
        <sz val="18"/>
        <name val="Calibri"/>
        <family val="2"/>
        <scheme val="none"/>
      </font>
    </dxf>
    <dxf>
      <font>
        <b val="0"/>
        <strike val="0"/>
        <outline val="0"/>
        <shadow val="0"/>
        <u val="none"/>
        <vertAlign val="baseline"/>
        <sz val="12"/>
        <name val="Calibri"/>
        <family val="2"/>
        <scheme val="minor"/>
      </font>
      <fill>
        <patternFill>
          <fgColor indexed="64"/>
          <bgColor theme="0"/>
        </patternFill>
      </fill>
      <border diagonalUp="0" diagonalDown="0">
        <left style="hair">
          <color auto="1"/>
        </left>
        <right/>
        <top style="hair">
          <color auto="1"/>
        </top>
        <bottom style="hair">
          <color auto="1"/>
        </bottom>
        <vertical style="hair">
          <color auto="1"/>
        </vertical>
        <horizontal style="hair">
          <color auto="1"/>
        </horizontal>
      </border>
    </dxf>
    <dxf>
      <font>
        <b val="0"/>
        <strike val="0"/>
        <outline val="0"/>
        <shadow val="0"/>
        <u val="none"/>
        <vertAlign val="baseline"/>
        <sz val="12"/>
        <name val="Calibri"/>
        <family val="2"/>
        <scheme val="minor"/>
      </font>
      <numFmt numFmtId="0" formatCode="General"/>
      <fill>
        <patternFill>
          <fgColor indexed="64"/>
          <bgColor theme="0"/>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ont>
        <b val="0"/>
        <strike val="0"/>
        <outline val="0"/>
        <shadow val="0"/>
        <u val="none"/>
        <vertAlign val="baseline"/>
        <sz val="12"/>
        <name val="Calibri"/>
        <family val="2"/>
        <scheme val="minor"/>
      </font>
      <numFmt numFmtId="0" formatCode="General"/>
      <fill>
        <patternFill>
          <fgColor indexed="64"/>
          <bgColor theme="0"/>
        </patternFill>
      </fill>
      <border diagonalUp="0" diagonalDown="0">
        <left/>
        <right style="hair">
          <color auto="1"/>
        </right>
        <top style="hair">
          <color auto="1"/>
        </top>
        <bottom style="hair">
          <color auto="1"/>
        </bottom>
        <vertical style="hair">
          <color auto="1"/>
        </vertical>
        <horizontal style="hair">
          <color auto="1"/>
        </horizontal>
      </border>
    </dxf>
    <dxf>
      <font>
        <b val="0"/>
        <strike val="0"/>
        <outline val="0"/>
        <shadow val="0"/>
        <u val="none"/>
        <vertAlign val="baseline"/>
        <sz val="12"/>
        <name val="Calibri"/>
        <family val="2"/>
        <scheme val="none"/>
      </font>
      <fill>
        <patternFill>
          <fgColor rgb="FF000000"/>
          <bgColor rgb="FFFFFFFF"/>
        </patternFill>
      </fill>
      <border diagonalUp="0" diagonalDown="0">
        <left style="hair">
          <color auto="1"/>
        </left>
        <right style="hair">
          <color auto="1"/>
        </right>
        <top/>
        <bottom/>
        <vertical style="hair">
          <color auto="1"/>
        </vertical>
        <horizontal style="hair">
          <color auto="1"/>
        </horizontal>
      </border>
    </dxf>
    <dxf>
      <font>
        <b val="0"/>
        <strike val="0"/>
        <outline val="0"/>
        <shadow val="0"/>
        <u val="none"/>
        <vertAlign val="baseline"/>
        <sz val="12"/>
        <name val="Calibri"/>
        <family val="2"/>
        <scheme val="none"/>
      </font>
      <fill>
        <patternFill>
          <fgColor rgb="FF000000"/>
          <bgColor rgb="FFFFFFFF"/>
        </patternFill>
      </fill>
    </dxf>
    <dxf>
      <font>
        <b val="0"/>
        <strike val="0"/>
        <outline val="0"/>
        <shadow val="0"/>
        <u val="none"/>
        <vertAlign val="baseline"/>
        <sz val="12"/>
        <name val="Calibri"/>
        <family val="2"/>
        <scheme val="minor"/>
      </font>
      <fill>
        <patternFill>
          <fgColor indexed="64"/>
          <bgColor theme="0"/>
        </patternFill>
      </fill>
      <border diagonalUp="0" diagonalDown="0">
        <left style="hair">
          <color auto="1"/>
        </left>
        <right style="hair">
          <color auto="1"/>
        </right>
        <top/>
        <bottom/>
        <vertical style="hair">
          <color auto="1"/>
        </vertical>
        <horizontal style="hair">
          <color auto="1"/>
        </horizontal>
      </border>
    </dxf>
    <dxf>
      <numFmt numFmtId="12" formatCode="&quot;₹&quot;\ #,##0.00;[Red]&quot;₹&quot;\ \-#,##0.00"/>
    </dxf>
    <dxf>
      <font>
        <b/>
        <i val="0"/>
        <strike val="0"/>
        <condense val="0"/>
        <extend val="0"/>
        <outline val="0"/>
        <shadow val="0"/>
        <u val="none"/>
        <vertAlign val="baseline"/>
        <sz val="11"/>
        <color rgb="FF000000"/>
        <name val="Calibri"/>
        <family val="2"/>
        <scheme val="minor"/>
      </font>
      <numFmt numFmtId="4" formatCode="#,##0.00"/>
      <fill>
        <patternFill patternType="solid">
          <fgColor indexed="64"/>
          <bgColor rgb="FFFFFFFF"/>
        </patternFill>
      </fill>
      <alignment horizontal="right" vertical="center" textRotation="0" wrapText="0" indent="0" justifyLastLine="0" shrinkToFit="0" readingOrder="0"/>
      <border diagonalUp="0" diagonalDown="0" outline="0">
        <left/>
        <right/>
        <top/>
        <bottom style="dotted">
          <color rgb="FFE5E7EC"/>
        </bottom>
      </border>
    </dxf>
    <dxf>
      <font>
        <b/>
        <i val="0"/>
        <strike val="0"/>
        <condense val="0"/>
        <extend val="0"/>
        <outline val="0"/>
        <shadow val="0"/>
        <u val="none"/>
        <vertAlign val="baseline"/>
        <sz val="11"/>
        <color rgb="FF808080"/>
        <name val="Calibri"/>
        <family val="2"/>
        <scheme val="minor"/>
      </font>
      <fill>
        <patternFill patternType="solid">
          <fgColor indexed="64"/>
          <bgColor rgb="FFFFFFFF"/>
        </patternFill>
      </fill>
      <alignment horizontal="general" vertical="center" textRotation="0" wrapText="0" indent="0" justifyLastLine="0" shrinkToFit="0" readingOrder="0"/>
      <border diagonalUp="0" diagonalDown="0" outline="0">
        <left/>
        <right/>
        <top/>
        <bottom style="dotted">
          <color rgb="FFE5E7EC"/>
        </bottom>
      </border>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rgb="FF333333"/>
        <name val="Calibri"/>
        <family val="2"/>
        <scheme val="minor"/>
      </font>
      <fill>
        <patternFill patternType="solid">
          <fgColor indexed="64"/>
          <bgColor rgb="FFFFFFFF"/>
        </patternFill>
      </fill>
      <alignment horizontal="right" vertical="center" textRotation="0" wrapText="1" indent="0" justifyLastLine="0" shrinkToFit="0" readingOrder="0"/>
      <border diagonalUp="0" diagonalDown="0" outline="0">
        <left/>
        <right/>
        <top/>
        <bottom style="medium">
          <color rgb="FFEBEBEB"/>
        </bottom>
      </border>
    </dxf>
    <dxf>
      <font>
        <b val="0"/>
        <i val="0"/>
        <strike val="0"/>
        <condense val="0"/>
        <extend val="0"/>
        <outline val="0"/>
        <shadow val="0"/>
        <u val="none"/>
        <vertAlign val="baseline"/>
        <sz val="11"/>
        <color rgb="FF333333"/>
        <name val="Calibri"/>
        <family val="2"/>
        <scheme val="minor"/>
      </font>
      <fill>
        <patternFill patternType="solid">
          <fgColor indexed="64"/>
          <bgColor theme="5" tint="0.79998168889431442"/>
        </patternFill>
      </fill>
      <alignment horizontal="right" vertical="center" textRotation="0" wrapText="1" indent="0" justifyLastLine="0" shrinkToFit="0" readingOrder="0"/>
      <border diagonalUp="0" diagonalDown="0" outline="0">
        <left/>
        <right/>
        <top/>
        <bottom style="medium">
          <color rgb="FFEBEBEB"/>
        </bottom>
      </border>
    </dxf>
    <dxf>
      <font>
        <b val="0"/>
        <i val="0"/>
        <strike val="0"/>
        <condense val="0"/>
        <extend val="0"/>
        <outline val="0"/>
        <shadow val="0"/>
        <u val="none"/>
        <vertAlign val="baseline"/>
        <sz val="11"/>
        <color rgb="FF333333"/>
        <name val="Calibri"/>
        <family val="2"/>
        <scheme val="minor"/>
      </font>
      <fill>
        <patternFill patternType="solid">
          <fgColor indexed="64"/>
          <bgColor rgb="FFFFFFFF"/>
        </patternFill>
      </fill>
      <alignment horizontal="right" vertical="center" textRotation="0" wrapText="1" indent="0" justifyLastLine="0" shrinkToFit="0" readingOrder="0"/>
      <border diagonalUp="0" diagonalDown="0" outline="0">
        <left/>
        <right/>
        <top/>
        <bottom style="medium">
          <color rgb="FFEBEBEB"/>
        </bottom>
      </border>
    </dxf>
    <dxf>
      <font>
        <b val="0"/>
        <i val="0"/>
        <strike val="0"/>
        <condense val="0"/>
        <extend val="0"/>
        <outline val="0"/>
        <shadow val="0"/>
        <u val="none"/>
        <vertAlign val="baseline"/>
        <sz val="11"/>
        <color rgb="FF333333"/>
        <name val="Calibri"/>
        <family val="2"/>
        <scheme val="minor"/>
      </font>
      <fill>
        <patternFill patternType="solid">
          <fgColor indexed="64"/>
          <bgColor theme="5" tint="0.79998168889431442"/>
        </patternFill>
      </fill>
      <alignment horizontal="right" vertical="center" textRotation="0" wrapText="1" indent="0" justifyLastLine="0" shrinkToFit="0" readingOrder="0"/>
      <border diagonalUp="0" diagonalDown="0" outline="0">
        <left/>
        <right/>
        <top/>
        <bottom style="medium">
          <color rgb="FFEBEBEB"/>
        </bottom>
      </border>
    </dxf>
    <dxf>
      <font>
        <b val="0"/>
        <i val="0"/>
        <strike val="0"/>
        <condense val="0"/>
        <extend val="0"/>
        <outline val="0"/>
        <shadow val="0"/>
        <u val="none"/>
        <vertAlign val="baseline"/>
        <sz val="11"/>
        <color rgb="FF333333"/>
        <name val="Calibri"/>
        <family val="2"/>
        <scheme val="minor"/>
      </font>
      <fill>
        <patternFill patternType="solid">
          <fgColor indexed="64"/>
          <bgColor rgb="FFFFFFFF"/>
        </patternFill>
      </fill>
      <alignment horizontal="right" vertical="center" textRotation="0" wrapText="1" indent="0" justifyLastLine="0" shrinkToFit="0" readingOrder="0"/>
      <border diagonalUp="0" diagonalDown="0" outline="0">
        <left/>
        <right/>
        <top/>
        <bottom style="medium">
          <color rgb="FFEBEBEB"/>
        </bottom>
      </border>
    </dxf>
    <dxf>
      <font>
        <b/>
        <i val="0"/>
        <strike val="0"/>
        <condense val="0"/>
        <extend val="0"/>
        <outline val="0"/>
        <shadow val="0"/>
        <u val="none"/>
        <vertAlign val="baseline"/>
        <sz val="11"/>
        <color rgb="FF333333"/>
        <name val="Calibri"/>
        <family val="2"/>
        <scheme val="minor"/>
      </font>
      <fill>
        <patternFill patternType="solid">
          <fgColor indexed="64"/>
          <bgColor theme="5" tint="0.79998168889431442"/>
        </patternFill>
      </fill>
      <alignment horizontal="left" vertical="center" textRotation="0" wrapText="1" indent="0" justifyLastLine="0" shrinkToFit="0" readingOrder="0"/>
      <border diagonalUp="0" diagonalDown="0" outline="0">
        <left/>
        <right/>
        <top/>
        <bottom style="medium">
          <color rgb="FFEBEBEB"/>
        </bottom>
      </border>
    </dxf>
    <dxf>
      <border outline="0">
        <bottom style="medium">
          <color rgb="FFD1D1D1"/>
        </bottom>
      </border>
    </dxf>
    <dxf>
      <font>
        <b/>
        <i val="0"/>
        <strike val="0"/>
        <condense val="0"/>
        <extend val="0"/>
        <outline val="0"/>
        <shadow val="0"/>
        <u val="none"/>
        <vertAlign val="baseline"/>
        <sz val="11"/>
        <color rgb="FF202020"/>
        <name val="Calibri"/>
        <family val="2"/>
        <scheme val="minor"/>
      </font>
      <numFmt numFmtId="22" formatCode="mmm/yy"/>
      <fill>
        <patternFill patternType="solid">
          <fgColor indexed="64"/>
          <bgColor theme="5" tint="0.79998168889431442"/>
        </patternFill>
      </fill>
      <alignment horizontal="right" vertical="center" textRotation="0" wrapText="1" indent="0" justifyLastLine="0" shrinkToFit="0" readingOrder="0"/>
    </dxf>
    <dxf>
      <numFmt numFmtId="2" formatCode="0.00"/>
    </dxf>
    <dxf>
      <numFmt numFmtId="2" formatCode="0.00"/>
    </dxf>
    <dxf>
      <numFmt numFmtId="2" formatCode="0.00"/>
    </dxf>
    <dxf>
      <numFmt numFmtId="2" formatCode="0.00"/>
    </dxf>
    <dxf>
      <numFmt numFmtId="2" formatCode="0.00"/>
    </dxf>
    <dxf>
      <alignment horizontal="center" vertical="bottom" textRotation="0" wrapText="0" indent="0" justifyLastLine="0" shrinkToFit="0" readingOrder="0"/>
    </dxf>
    <dxf>
      <numFmt numFmtId="14" formatCode="0.00%"/>
    </dxf>
    <dxf>
      <numFmt numFmtId="2" formatCode="0.00"/>
    </dxf>
    <dxf>
      <numFmt numFmtId="3" formatCode="#,##0"/>
    </dxf>
    <dxf>
      <numFmt numFmtId="3" formatCode="#,##0"/>
    </dxf>
    <dxf>
      <numFmt numFmtId="3" formatCode="#,##0"/>
    </dxf>
    <dxf>
      <numFmt numFmtId="3" formatCode="#,##0"/>
    </dxf>
    <dxf>
      <numFmt numFmtId="3" formatCode="#,##0"/>
    </dxf>
    <dxf>
      <numFmt numFmtId="3" formatCode="#,##0"/>
    </dxf>
    <dxf>
      <alignment horizontal="general" vertical="bottom" textRotation="0" wrapText="1" indent="0" justifyLastLine="0" shrinkToFit="0" readingOrder="0"/>
    </dxf>
    <dxf>
      <numFmt numFmtId="3" formatCode="#,##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DC86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connections" Target="connections.xml"/><Relationship Id="rId26" Type="http://schemas.microsoft.com/office/2017/06/relationships/rdSupportingPropertyBag" Target="richData/rdsupporting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microsoft.com/office/2017/06/relationships/rdSupportingPropertyBagStructure" Target="richData/rdsupportingpropertybagstructure.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ichStyles" Target="richData/rich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microsoft.com/office/2017/06/relationships/rdRichValueTypes" Target="richData/rdRichValueTypes.xml"/><Relationship Id="rId30" Type="http://schemas.openxmlformats.org/officeDocument/2006/relationships/customXml" Target="../customXml/item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499759405074369"/>
          <c:y val="0.15782407407407409"/>
          <c:w val="0.82055796150481186"/>
          <c:h val="0.70294728783902016"/>
        </c:manualLayout>
      </c:layout>
      <c:barChart>
        <c:barDir val="col"/>
        <c:grouping val="clustered"/>
        <c:varyColors val="0"/>
        <c:ser>
          <c:idx val="0"/>
          <c:order val="0"/>
          <c:tx>
            <c:strRef>
              <c:f>profitloss!$C$1</c:f>
              <c:strCache>
                <c:ptCount val="1"/>
                <c:pt idx="0">
                  <c:v>2018-19</c:v>
                </c:pt>
              </c:strCache>
            </c:strRef>
          </c:tx>
          <c:spPr>
            <a:solidFill>
              <a:schemeClr val="accent1"/>
            </a:solidFill>
            <a:ln>
              <a:noFill/>
            </a:ln>
            <a:effectLst/>
          </c:spPr>
          <c:invertIfNegative val="0"/>
          <c:val>
            <c:numRef>
              <c:f>profitloss!$C$7</c:f>
              <c:numCache>
                <c:formatCode>0.00</c:formatCode>
                <c:ptCount val="1"/>
                <c:pt idx="0">
                  <c:v>583094</c:v>
                </c:pt>
              </c:numCache>
            </c:numRef>
          </c:val>
          <c:extLst>
            <c:ext xmlns:c16="http://schemas.microsoft.com/office/drawing/2014/chart" uri="{C3380CC4-5D6E-409C-BE32-E72D297353CC}">
              <c16:uniqueId val="{00000000-4F86-4FE3-AF91-A3EDF4071619}"/>
            </c:ext>
          </c:extLst>
        </c:ser>
        <c:ser>
          <c:idx val="1"/>
          <c:order val="1"/>
          <c:tx>
            <c:strRef>
              <c:f>profitloss!$D$1</c:f>
              <c:strCache>
                <c:ptCount val="1"/>
                <c:pt idx="0">
                  <c:v>2019-20</c:v>
                </c:pt>
              </c:strCache>
            </c:strRef>
          </c:tx>
          <c:spPr>
            <a:solidFill>
              <a:schemeClr val="accent2"/>
            </a:solidFill>
            <a:ln>
              <a:noFill/>
            </a:ln>
            <a:effectLst/>
          </c:spPr>
          <c:invertIfNegative val="0"/>
          <c:val>
            <c:numRef>
              <c:f>profitloss!$D$7</c:f>
              <c:numCache>
                <c:formatCode>#,##0</c:formatCode>
                <c:ptCount val="1"/>
                <c:pt idx="0">
                  <c:v>612437</c:v>
                </c:pt>
              </c:numCache>
            </c:numRef>
          </c:val>
          <c:extLst>
            <c:ext xmlns:c16="http://schemas.microsoft.com/office/drawing/2014/chart" uri="{C3380CC4-5D6E-409C-BE32-E72D297353CC}">
              <c16:uniqueId val="{00000001-4F86-4FE3-AF91-A3EDF4071619}"/>
            </c:ext>
          </c:extLst>
        </c:ser>
        <c:ser>
          <c:idx val="2"/>
          <c:order val="2"/>
          <c:tx>
            <c:strRef>
              <c:f>profitloss!$E$1</c:f>
              <c:strCache>
                <c:ptCount val="1"/>
                <c:pt idx="0">
                  <c:v>2020-21</c:v>
                </c:pt>
              </c:strCache>
            </c:strRef>
          </c:tx>
          <c:spPr>
            <a:solidFill>
              <a:schemeClr val="accent3"/>
            </a:solidFill>
            <a:ln>
              <a:noFill/>
            </a:ln>
            <a:effectLst/>
          </c:spPr>
          <c:invertIfNegative val="0"/>
          <c:val>
            <c:numRef>
              <c:f>profitloss!$E$7</c:f>
              <c:numCache>
                <c:formatCode>#,##0</c:formatCode>
                <c:ptCount val="1"/>
                <c:pt idx="0">
                  <c:v>486326</c:v>
                </c:pt>
              </c:numCache>
            </c:numRef>
          </c:val>
          <c:extLst>
            <c:ext xmlns:c16="http://schemas.microsoft.com/office/drawing/2014/chart" uri="{C3380CC4-5D6E-409C-BE32-E72D297353CC}">
              <c16:uniqueId val="{00000002-4F86-4FE3-AF91-A3EDF4071619}"/>
            </c:ext>
          </c:extLst>
        </c:ser>
        <c:ser>
          <c:idx val="3"/>
          <c:order val="3"/>
          <c:tx>
            <c:strRef>
              <c:f>profitloss!$F$1</c:f>
              <c:strCache>
                <c:ptCount val="1"/>
                <c:pt idx="0">
                  <c:v>2021-22</c:v>
                </c:pt>
              </c:strCache>
            </c:strRef>
          </c:tx>
          <c:spPr>
            <a:solidFill>
              <a:schemeClr val="accent4"/>
            </a:solidFill>
            <a:ln>
              <a:noFill/>
            </a:ln>
            <a:effectLst/>
          </c:spPr>
          <c:invertIfNegative val="0"/>
          <c:val>
            <c:numRef>
              <c:f>profitloss!$F$7</c:f>
              <c:numCache>
                <c:formatCode>#,##0</c:formatCode>
                <c:ptCount val="1"/>
                <c:pt idx="0">
                  <c:v>721634</c:v>
                </c:pt>
              </c:numCache>
            </c:numRef>
          </c:val>
          <c:extLst>
            <c:ext xmlns:c16="http://schemas.microsoft.com/office/drawing/2014/chart" uri="{C3380CC4-5D6E-409C-BE32-E72D297353CC}">
              <c16:uniqueId val="{00000003-4F86-4FE3-AF91-A3EDF4071619}"/>
            </c:ext>
          </c:extLst>
        </c:ser>
        <c:dLbls>
          <c:showLegendKey val="0"/>
          <c:showVal val="0"/>
          <c:showCatName val="0"/>
          <c:showSerName val="0"/>
          <c:showPercent val="0"/>
          <c:showBubbleSize val="0"/>
        </c:dLbls>
        <c:gapWidth val="219"/>
        <c:overlap val="-27"/>
        <c:axId val="1208405439"/>
        <c:axId val="1208408767"/>
      </c:barChart>
      <c:catAx>
        <c:axId val="12084054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408767"/>
        <c:crosses val="autoZero"/>
        <c:auto val="1"/>
        <c:lblAlgn val="ctr"/>
        <c:lblOffset val="100"/>
        <c:noMultiLvlLbl val="0"/>
      </c:catAx>
      <c:valAx>
        <c:axId val="1208408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4054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expected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profitloss!$G$1:$K$1</c:f>
              <c:strCache>
                <c:ptCount val="5"/>
                <c:pt idx="0">
                  <c:v>2022-23E</c:v>
                </c:pt>
                <c:pt idx="1">
                  <c:v>2023-24E</c:v>
                </c:pt>
                <c:pt idx="2">
                  <c:v>2024-25E</c:v>
                </c:pt>
                <c:pt idx="3">
                  <c:v>2025-26E</c:v>
                </c:pt>
                <c:pt idx="4">
                  <c:v>2026-27E</c:v>
                </c:pt>
              </c:strCache>
            </c:strRef>
          </c:cat>
          <c:val>
            <c:numRef>
              <c:f>profitloss!$G$7:$K$7</c:f>
              <c:numCache>
                <c:formatCode>0.0</c:formatCode>
                <c:ptCount val="5"/>
                <c:pt idx="0">
                  <c:v>833939.73</c:v>
                </c:pt>
                <c:pt idx="1">
                  <c:v>955367.74090000009</c:v>
                </c:pt>
                <c:pt idx="2">
                  <c:v>1097887.7270220001</c:v>
                </c:pt>
                <c:pt idx="3">
                  <c:v>1265714.4507231254</c:v>
                </c:pt>
                <c:pt idx="4">
                  <c:v>1463980.5981208044</c:v>
                </c:pt>
              </c:numCache>
            </c:numRef>
          </c:val>
          <c:extLst>
            <c:ext xmlns:c16="http://schemas.microsoft.com/office/drawing/2014/chart" uri="{C3380CC4-5D6E-409C-BE32-E72D297353CC}">
              <c16:uniqueId val="{00000000-639F-4131-BE98-AA85240D9E5F}"/>
            </c:ext>
          </c:extLst>
        </c:ser>
        <c:dLbls>
          <c:showLegendKey val="0"/>
          <c:showVal val="0"/>
          <c:showCatName val="0"/>
          <c:showSerName val="0"/>
          <c:showPercent val="0"/>
          <c:showBubbleSize val="0"/>
        </c:dLbls>
        <c:gapWidth val="219"/>
        <c:overlap val="-27"/>
        <c:axId val="1218579071"/>
        <c:axId val="1218579487"/>
      </c:barChart>
      <c:catAx>
        <c:axId val="121857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579487"/>
        <c:crosses val="autoZero"/>
        <c:auto val="1"/>
        <c:lblAlgn val="ctr"/>
        <c:lblOffset val="100"/>
        <c:noMultiLvlLbl val="0"/>
      </c:catAx>
      <c:valAx>
        <c:axId val="121857948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579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after tax</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profitloss!$D$1</c:f>
              <c:strCache>
                <c:ptCount val="1"/>
                <c:pt idx="0">
                  <c:v>2019-20</c:v>
                </c:pt>
              </c:strCache>
            </c:strRef>
          </c:tx>
          <c:spPr>
            <a:solidFill>
              <a:schemeClr val="accent1"/>
            </a:solidFill>
            <a:ln>
              <a:noFill/>
            </a:ln>
            <a:effectLst/>
          </c:spPr>
          <c:invertIfNegative val="0"/>
          <c:cat>
            <c:numRef>
              <c:f>profitloss!$C$28:$C$29</c:f>
              <c:numCache>
                <c:formatCode>General</c:formatCode>
                <c:ptCount val="2"/>
                <c:pt idx="0">
                  <c:v>39837</c:v>
                </c:pt>
              </c:numCache>
            </c:numRef>
          </c:cat>
          <c:val>
            <c:numRef>
              <c:f>profitloss!$D$28:$D$29</c:f>
              <c:numCache>
                <c:formatCode>General</c:formatCode>
                <c:ptCount val="2"/>
                <c:pt idx="0" formatCode="#,##0">
                  <c:v>39880</c:v>
                </c:pt>
              </c:numCache>
            </c:numRef>
          </c:val>
          <c:extLst>
            <c:ext xmlns:c16="http://schemas.microsoft.com/office/drawing/2014/chart" uri="{C3380CC4-5D6E-409C-BE32-E72D297353CC}">
              <c16:uniqueId val="{00000000-0006-4049-AABA-8219F3AE9EB9}"/>
            </c:ext>
          </c:extLst>
        </c:ser>
        <c:ser>
          <c:idx val="1"/>
          <c:order val="1"/>
          <c:tx>
            <c:strRef>
              <c:f>profitloss!$E$1</c:f>
              <c:strCache>
                <c:ptCount val="1"/>
                <c:pt idx="0">
                  <c:v>2020-21</c:v>
                </c:pt>
              </c:strCache>
            </c:strRef>
          </c:tx>
          <c:spPr>
            <a:solidFill>
              <a:schemeClr val="accent2"/>
            </a:solidFill>
            <a:ln>
              <a:noFill/>
            </a:ln>
            <a:effectLst/>
          </c:spPr>
          <c:invertIfNegative val="0"/>
          <c:cat>
            <c:numRef>
              <c:f>profitloss!$C$28:$C$29</c:f>
              <c:numCache>
                <c:formatCode>General</c:formatCode>
                <c:ptCount val="2"/>
                <c:pt idx="0">
                  <c:v>39837</c:v>
                </c:pt>
              </c:numCache>
            </c:numRef>
          </c:cat>
          <c:val>
            <c:numRef>
              <c:f>profitloss!$E$28:$E$29</c:f>
              <c:numCache>
                <c:formatCode>General</c:formatCode>
                <c:ptCount val="2"/>
                <c:pt idx="0" formatCode="#,##0">
                  <c:v>53739</c:v>
                </c:pt>
              </c:numCache>
            </c:numRef>
          </c:val>
          <c:extLst>
            <c:ext xmlns:c16="http://schemas.microsoft.com/office/drawing/2014/chart" uri="{C3380CC4-5D6E-409C-BE32-E72D297353CC}">
              <c16:uniqueId val="{00000001-0006-4049-AABA-8219F3AE9EB9}"/>
            </c:ext>
          </c:extLst>
        </c:ser>
        <c:ser>
          <c:idx val="2"/>
          <c:order val="2"/>
          <c:tx>
            <c:strRef>
              <c:f>profitloss!$F$1</c:f>
              <c:strCache>
                <c:ptCount val="1"/>
                <c:pt idx="0">
                  <c:v>2021-22</c:v>
                </c:pt>
              </c:strCache>
            </c:strRef>
          </c:tx>
          <c:spPr>
            <a:solidFill>
              <a:schemeClr val="accent3"/>
            </a:solidFill>
            <a:ln>
              <a:noFill/>
            </a:ln>
            <a:effectLst/>
          </c:spPr>
          <c:invertIfNegative val="0"/>
          <c:cat>
            <c:numRef>
              <c:f>profitloss!$C$28:$C$29</c:f>
              <c:numCache>
                <c:formatCode>General</c:formatCode>
                <c:ptCount val="2"/>
                <c:pt idx="0">
                  <c:v>39837</c:v>
                </c:pt>
              </c:numCache>
            </c:numRef>
          </c:cat>
          <c:val>
            <c:numRef>
              <c:f>profitloss!$F$28:$F$29</c:f>
              <c:numCache>
                <c:formatCode>General</c:formatCode>
                <c:ptCount val="2"/>
                <c:pt idx="0" formatCode="#,##0">
                  <c:v>67845</c:v>
                </c:pt>
              </c:numCache>
            </c:numRef>
          </c:val>
          <c:extLst>
            <c:ext xmlns:c16="http://schemas.microsoft.com/office/drawing/2014/chart" uri="{C3380CC4-5D6E-409C-BE32-E72D297353CC}">
              <c16:uniqueId val="{00000002-0006-4049-AABA-8219F3AE9EB9}"/>
            </c:ext>
          </c:extLst>
        </c:ser>
        <c:dLbls>
          <c:showLegendKey val="0"/>
          <c:showVal val="0"/>
          <c:showCatName val="0"/>
          <c:showSerName val="0"/>
          <c:showPercent val="0"/>
          <c:showBubbleSize val="0"/>
        </c:dLbls>
        <c:gapWidth val="219"/>
        <c:overlap val="-27"/>
        <c:axId val="1442971775"/>
        <c:axId val="1442972191"/>
      </c:barChart>
      <c:catAx>
        <c:axId val="144297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972191"/>
        <c:crosses val="autoZero"/>
        <c:auto val="1"/>
        <c:lblAlgn val="ctr"/>
        <c:lblOffset val="100"/>
        <c:noMultiLvlLbl val="0"/>
      </c:catAx>
      <c:valAx>
        <c:axId val="14429721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971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after tax</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profitloss!$G$1:$K$1</c:f>
              <c:strCache>
                <c:ptCount val="5"/>
                <c:pt idx="0">
                  <c:v>2022-23E</c:v>
                </c:pt>
                <c:pt idx="1">
                  <c:v>2023-24E</c:v>
                </c:pt>
                <c:pt idx="2">
                  <c:v>2024-25E</c:v>
                </c:pt>
                <c:pt idx="3">
                  <c:v>2025-26E</c:v>
                </c:pt>
                <c:pt idx="4">
                  <c:v>2026-27E</c:v>
                </c:pt>
              </c:strCache>
            </c:strRef>
          </c:cat>
          <c:val>
            <c:numRef>
              <c:f>profitloss!$G$28:$K$28</c:f>
              <c:numCache>
                <c:formatCode>#,##0</c:formatCode>
                <c:ptCount val="5"/>
                <c:pt idx="0">
                  <c:v>56074.126382022601</c:v>
                </c:pt>
                <c:pt idx="1">
                  <c:v>73670.632600137906</c:v>
                </c:pt>
                <c:pt idx="2">
                  <c:v>86699.311095939571</c:v>
                </c:pt>
                <c:pt idx="3">
                  <c:v>102861.845957838</c:v>
                </c:pt>
                <c:pt idx="4">
                  <c:v>122997.0078593074</c:v>
                </c:pt>
              </c:numCache>
            </c:numRef>
          </c:val>
          <c:extLst>
            <c:ext xmlns:c16="http://schemas.microsoft.com/office/drawing/2014/chart" uri="{C3380CC4-5D6E-409C-BE32-E72D297353CC}">
              <c16:uniqueId val="{00000000-E865-45E7-B961-680AD5CB6F1A}"/>
            </c:ext>
          </c:extLst>
        </c:ser>
        <c:dLbls>
          <c:showLegendKey val="0"/>
          <c:showVal val="0"/>
          <c:showCatName val="0"/>
          <c:showSerName val="0"/>
          <c:showPercent val="0"/>
          <c:showBubbleSize val="0"/>
        </c:dLbls>
        <c:gapWidth val="219"/>
        <c:overlap val="-27"/>
        <c:axId val="1442336735"/>
        <c:axId val="1442335487"/>
      </c:barChart>
      <c:catAx>
        <c:axId val="144233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335487"/>
        <c:crosses val="autoZero"/>
        <c:auto val="1"/>
        <c:lblAlgn val="ctr"/>
        <c:lblOffset val="100"/>
        <c:noMultiLvlLbl val="0"/>
      </c:catAx>
      <c:valAx>
        <c:axId val="14423354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336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358705161854769E-2"/>
          <c:y val="0.16708333333333336"/>
          <c:w val="0.89019685039370078"/>
          <c:h val="0.61498432487605714"/>
        </c:manualLayout>
      </c:layout>
      <c:barChart>
        <c:barDir val="col"/>
        <c:grouping val="clustered"/>
        <c:varyColors val="0"/>
        <c:ser>
          <c:idx val="1"/>
          <c:order val="0"/>
          <c:tx>
            <c:strRef>
              <c:f>charts!$B$44</c:f>
              <c:strCache>
                <c:ptCount val="1"/>
                <c:pt idx="0">
                  <c:v>eps</c:v>
                </c:pt>
              </c:strCache>
            </c:strRef>
          </c:tx>
          <c:spPr>
            <a:solidFill>
              <a:schemeClr val="accent2"/>
            </a:solidFill>
            <a:ln>
              <a:noFill/>
            </a:ln>
            <a:effectLst/>
          </c:spPr>
          <c:invertIfNegative val="0"/>
          <c:cat>
            <c:numRef>
              <c:f>charts!$C$43:$K$43</c:f>
              <c:numCache>
                <c:formatCode>General</c:formatCode>
                <c:ptCount val="9"/>
                <c:pt idx="0">
                  <c:v>2020</c:v>
                </c:pt>
                <c:pt idx="1">
                  <c:v>2021</c:v>
                </c:pt>
                <c:pt idx="2">
                  <c:v>2022</c:v>
                </c:pt>
                <c:pt idx="3">
                  <c:v>2023</c:v>
                </c:pt>
                <c:pt idx="4">
                  <c:v>2024</c:v>
                </c:pt>
                <c:pt idx="5">
                  <c:v>2025</c:v>
                </c:pt>
                <c:pt idx="6">
                  <c:v>2026</c:v>
                </c:pt>
                <c:pt idx="7">
                  <c:v>2027</c:v>
                </c:pt>
              </c:numCache>
            </c:numRef>
          </c:cat>
          <c:val>
            <c:numRef>
              <c:f>charts!$C$44:$J$44</c:f>
              <c:numCache>
                <c:formatCode>General</c:formatCode>
                <c:ptCount val="8"/>
                <c:pt idx="0">
                  <c:v>63.07</c:v>
                </c:pt>
                <c:pt idx="1">
                  <c:v>76.37</c:v>
                </c:pt>
                <c:pt idx="2">
                  <c:v>92</c:v>
                </c:pt>
                <c:pt idx="3">
                  <c:v>74.59972467674848</c:v>
                </c:pt>
                <c:pt idx="4">
                  <c:v>98.009710776236687</c:v>
                </c:pt>
                <c:pt idx="5">
                  <c:v>115.34276420745842</c:v>
                </c:pt>
                <c:pt idx="6">
                  <c:v>136.84502788182439</c:v>
                </c:pt>
                <c:pt idx="7">
                  <c:v>163.63238296138456</c:v>
                </c:pt>
              </c:numCache>
            </c:numRef>
          </c:val>
          <c:extLst>
            <c:ext xmlns:c16="http://schemas.microsoft.com/office/drawing/2014/chart" uri="{C3380CC4-5D6E-409C-BE32-E72D297353CC}">
              <c16:uniqueId val="{00000001-09B0-4849-9D7C-9713F3DE9E04}"/>
            </c:ext>
          </c:extLst>
        </c:ser>
        <c:dLbls>
          <c:showLegendKey val="0"/>
          <c:showVal val="0"/>
          <c:showCatName val="0"/>
          <c:showSerName val="0"/>
          <c:showPercent val="0"/>
          <c:showBubbleSize val="0"/>
        </c:dLbls>
        <c:gapWidth val="219"/>
        <c:overlap val="-27"/>
        <c:axId val="1426416927"/>
        <c:axId val="1426418591"/>
      </c:barChart>
      <c:catAx>
        <c:axId val="142641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418591"/>
        <c:crosses val="autoZero"/>
        <c:auto val="1"/>
        <c:lblAlgn val="ctr"/>
        <c:lblOffset val="100"/>
        <c:noMultiLvlLbl val="0"/>
      </c:catAx>
      <c:valAx>
        <c:axId val="142641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416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cash flow equity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'valuation freecash flow'!$B$31</c:f>
              <c:strCache>
                <c:ptCount val="1"/>
                <c:pt idx="0">
                  <c:v>2022-23E</c:v>
                </c:pt>
              </c:strCache>
            </c:strRef>
          </c:tx>
          <c:spPr>
            <a:solidFill>
              <a:schemeClr val="accent1"/>
            </a:solidFill>
            <a:ln>
              <a:noFill/>
            </a:ln>
            <a:effectLst/>
          </c:spPr>
          <c:invertIfNegative val="0"/>
          <c:val>
            <c:numRef>
              <c:f>'valuation freecash flow'!$B$43</c:f>
              <c:numCache>
                <c:formatCode>0.00</c:formatCode>
                <c:ptCount val="1"/>
                <c:pt idx="0">
                  <c:v>53765.838386067386</c:v>
                </c:pt>
              </c:numCache>
            </c:numRef>
          </c:val>
          <c:extLst>
            <c:ext xmlns:c16="http://schemas.microsoft.com/office/drawing/2014/chart" uri="{C3380CC4-5D6E-409C-BE32-E72D297353CC}">
              <c16:uniqueId val="{00000000-FDEC-4846-B871-B1AFC353AE93}"/>
            </c:ext>
          </c:extLst>
        </c:ser>
        <c:ser>
          <c:idx val="1"/>
          <c:order val="1"/>
          <c:tx>
            <c:strRef>
              <c:f>'valuation freecash flow'!$C$31</c:f>
              <c:strCache>
                <c:ptCount val="1"/>
                <c:pt idx="0">
                  <c:v>2023-24E</c:v>
                </c:pt>
              </c:strCache>
            </c:strRef>
          </c:tx>
          <c:spPr>
            <a:solidFill>
              <a:schemeClr val="accent2"/>
            </a:solidFill>
            <a:ln>
              <a:noFill/>
            </a:ln>
            <a:effectLst/>
          </c:spPr>
          <c:invertIfNegative val="0"/>
          <c:val>
            <c:numRef>
              <c:f>'valuation freecash flow'!$C$43</c:f>
              <c:numCache>
                <c:formatCode>0.00</c:formatCode>
                <c:ptCount val="1"/>
                <c:pt idx="0">
                  <c:v>56619.691748630328</c:v>
                </c:pt>
              </c:numCache>
            </c:numRef>
          </c:val>
          <c:extLst>
            <c:ext xmlns:c16="http://schemas.microsoft.com/office/drawing/2014/chart" uri="{C3380CC4-5D6E-409C-BE32-E72D297353CC}">
              <c16:uniqueId val="{00000001-FDEC-4846-B871-B1AFC353AE93}"/>
            </c:ext>
          </c:extLst>
        </c:ser>
        <c:ser>
          <c:idx val="2"/>
          <c:order val="2"/>
          <c:tx>
            <c:strRef>
              <c:f>'valuation freecash flow'!$D$31</c:f>
              <c:strCache>
                <c:ptCount val="1"/>
                <c:pt idx="0">
                  <c:v>2024-25E</c:v>
                </c:pt>
              </c:strCache>
            </c:strRef>
          </c:tx>
          <c:spPr>
            <a:solidFill>
              <a:schemeClr val="accent3"/>
            </a:solidFill>
            <a:ln>
              <a:noFill/>
            </a:ln>
            <a:effectLst/>
          </c:spPr>
          <c:invertIfNegative val="0"/>
          <c:val>
            <c:numRef>
              <c:f>'valuation freecash flow'!$D$43</c:f>
              <c:numCache>
                <c:formatCode>0.00</c:formatCode>
                <c:ptCount val="1"/>
                <c:pt idx="0">
                  <c:v>67120.934411402544</c:v>
                </c:pt>
              </c:numCache>
            </c:numRef>
          </c:val>
          <c:extLst>
            <c:ext xmlns:c16="http://schemas.microsoft.com/office/drawing/2014/chart" uri="{C3380CC4-5D6E-409C-BE32-E72D297353CC}">
              <c16:uniqueId val="{00000002-FDEC-4846-B871-B1AFC353AE93}"/>
            </c:ext>
          </c:extLst>
        </c:ser>
        <c:ser>
          <c:idx val="3"/>
          <c:order val="3"/>
          <c:tx>
            <c:strRef>
              <c:f>'valuation freecash flow'!$E$31</c:f>
              <c:strCache>
                <c:ptCount val="1"/>
                <c:pt idx="0">
                  <c:v>2025-26E</c:v>
                </c:pt>
              </c:strCache>
            </c:strRef>
          </c:tx>
          <c:spPr>
            <a:solidFill>
              <a:schemeClr val="accent4"/>
            </a:solidFill>
            <a:ln>
              <a:noFill/>
            </a:ln>
            <a:effectLst/>
          </c:spPr>
          <c:invertIfNegative val="0"/>
          <c:val>
            <c:numRef>
              <c:f>'valuation freecash flow'!$E$43</c:f>
              <c:numCache>
                <c:formatCode>0.00</c:formatCode>
                <c:ptCount val="1"/>
                <c:pt idx="0">
                  <c:v>79248.249831102672</c:v>
                </c:pt>
              </c:numCache>
            </c:numRef>
          </c:val>
          <c:extLst>
            <c:ext xmlns:c16="http://schemas.microsoft.com/office/drawing/2014/chart" uri="{C3380CC4-5D6E-409C-BE32-E72D297353CC}">
              <c16:uniqueId val="{00000003-FDEC-4846-B871-B1AFC353AE93}"/>
            </c:ext>
          </c:extLst>
        </c:ser>
        <c:ser>
          <c:idx val="4"/>
          <c:order val="4"/>
          <c:tx>
            <c:strRef>
              <c:f>'valuation freecash flow'!$F$31</c:f>
              <c:strCache>
                <c:ptCount val="1"/>
                <c:pt idx="0">
                  <c:v>2026-27E</c:v>
                </c:pt>
              </c:strCache>
            </c:strRef>
          </c:tx>
          <c:spPr>
            <a:solidFill>
              <a:schemeClr val="accent5"/>
            </a:solidFill>
            <a:ln>
              <a:noFill/>
            </a:ln>
            <a:effectLst/>
          </c:spPr>
          <c:invertIfNegative val="0"/>
          <c:val>
            <c:numRef>
              <c:f>'valuation freecash flow'!$F$43</c:f>
              <c:numCache>
                <c:formatCode>0.00</c:formatCode>
                <c:ptCount val="1"/>
                <c:pt idx="0">
                  <c:v>93773.682050382238</c:v>
                </c:pt>
              </c:numCache>
            </c:numRef>
          </c:val>
          <c:extLst>
            <c:ext xmlns:c16="http://schemas.microsoft.com/office/drawing/2014/chart" uri="{C3380CC4-5D6E-409C-BE32-E72D297353CC}">
              <c16:uniqueId val="{00000004-FDEC-4846-B871-B1AFC353AE93}"/>
            </c:ext>
          </c:extLst>
        </c:ser>
        <c:dLbls>
          <c:showLegendKey val="0"/>
          <c:showVal val="0"/>
          <c:showCatName val="0"/>
          <c:showSerName val="0"/>
          <c:showPercent val="0"/>
          <c:showBubbleSize val="0"/>
        </c:dLbls>
        <c:gapWidth val="219"/>
        <c:overlap val="-27"/>
        <c:axId val="1218580735"/>
        <c:axId val="1218576159"/>
      </c:barChart>
      <c:catAx>
        <c:axId val="12185807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576159"/>
        <c:crosses val="autoZero"/>
        <c:auto val="1"/>
        <c:lblAlgn val="ctr"/>
        <c:lblOffset val="100"/>
        <c:noMultiLvlLbl val="0"/>
      </c:catAx>
      <c:valAx>
        <c:axId val="12185761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580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cashflow!$E$2</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cashflow!$D$24</c:f>
              <c:strCache>
                <c:ptCount val="1"/>
                <c:pt idx="0">
                  <c:v>42,346</c:v>
                </c:pt>
              </c:strCache>
            </c:strRef>
          </c:cat>
          <c:val>
            <c:numRef>
              <c:f>cashflow!$E$24</c:f>
            </c:numRef>
          </c:val>
          <c:extLst>
            <c:ext xmlns:c16="http://schemas.microsoft.com/office/drawing/2014/chart" uri="{C3380CC4-5D6E-409C-BE32-E72D297353CC}">
              <c16:uniqueId val="{00000000-161E-48F0-BA00-CF48156816A7}"/>
            </c:ext>
          </c:extLst>
        </c:ser>
        <c:ser>
          <c:idx val="1"/>
          <c:order val="1"/>
          <c:tx>
            <c:strRef>
              <c:f>cashflow!$F$2</c:f>
              <c:strCache>
                <c:ptCount val="1"/>
                <c:pt idx="0">
                  <c:v>2019-20</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cashflow!$D$24</c:f>
              <c:strCache>
                <c:ptCount val="1"/>
                <c:pt idx="0">
                  <c:v>42,346</c:v>
                </c:pt>
              </c:strCache>
            </c:strRef>
          </c:cat>
          <c:val>
            <c:numRef>
              <c:f>cashflow!$F$24</c:f>
              <c:numCache>
                <c:formatCode>#,##0</c:formatCode>
                <c:ptCount val="1"/>
                <c:pt idx="0">
                  <c:v>94877</c:v>
                </c:pt>
              </c:numCache>
            </c:numRef>
          </c:val>
          <c:extLst>
            <c:ext xmlns:c16="http://schemas.microsoft.com/office/drawing/2014/chart" uri="{C3380CC4-5D6E-409C-BE32-E72D297353CC}">
              <c16:uniqueId val="{00000001-161E-48F0-BA00-CF48156816A7}"/>
            </c:ext>
          </c:extLst>
        </c:ser>
        <c:ser>
          <c:idx val="2"/>
          <c:order val="2"/>
          <c:tx>
            <c:strRef>
              <c:f>cashflow!$G$2</c:f>
              <c:strCache>
                <c:ptCount val="1"/>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cashflow!$D$24</c:f>
              <c:strCache>
                <c:ptCount val="1"/>
                <c:pt idx="0">
                  <c:v>42,346</c:v>
                </c:pt>
              </c:strCache>
            </c:strRef>
          </c:cat>
          <c:val>
            <c:numRef>
              <c:f>cashflow!$G$24</c:f>
            </c:numRef>
          </c:val>
          <c:extLst>
            <c:ext xmlns:c16="http://schemas.microsoft.com/office/drawing/2014/chart" uri="{C3380CC4-5D6E-409C-BE32-E72D297353CC}">
              <c16:uniqueId val="{00000002-161E-48F0-BA00-CF48156816A7}"/>
            </c:ext>
          </c:extLst>
        </c:ser>
        <c:ser>
          <c:idx val="3"/>
          <c:order val="3"/>
          <c:tx>
            <c:strRef>
              <c:f>cashflow!$H$2</c:f>
              <c:strCache>
                <c:ptCount val="1"/>
                <c:pt idx="0">
                  <c:v>2020-21</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cashflow!$D$24</c:f>
              <c:strCache>
                <c:ptCount val="1"/>
                <c:pt idx="0">
                  <c:v>42,346</c:v>
                </c:pt>
              </c:strCache>
            </c:strRef>
          </c:cat>
          <c:val>
            <c:numRef>
              <c:f>cashflow!$H$24</c:f>
              <c:numCache>
                <c:formatCode>#,##0</c:formatCode>
                <c:ptCount val="1"/>
                <c:pt idx="0">
                  <c:v>26958</c:v>
                </c:pt>
              </c:numCache>
            </c:numRef>
          </c:val>
          <c:extLst>
            <c:ext xmlns:c16="http://schemas.microsoft.com/office/drawing/2014/chart" uri="{C3380CC4-5D6E-409C-BE32-E72D297353CC}">
              <c16:uniqueId val="{00000003-161E-48F0-BA00-CF48156816A7}"/>
            </c:ext>
          </c:extLst>
        </c:ser>
        <c:ser>
          <c:idx val="4"/>
          <c:order val="4"/>
          <c:tx>
            <c:strRef>
              <c:f>cashflow!$I$2</c:f>
              <c:strCache>
                <c:ptCount val="1"/>
                <c:pt idx="0">
                  <c:v>2021-22</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cashflow!$D$24</c:f>
              <c:strCache>
                <c:ptCount val="1"/>
                <c:pt idx="0">
                  <c:v>42,346</c:v>
                </c:pt>
              </c:strCache>
            </c:strRef>
          </c:cat>
          <c:val>
            <c:numRef>
              <c:f>cashflow!$I$24</c:f>
              <c:numCache>
                <c:formatCode>#,##0</c:formatCode>
                <c:ptCount val="1"/>
                <c:pt idx="0">
                  <c:v>110654</c:v>
                </c:pt>
              </c:numCache>
            </c:numRef>
          </c:val>
          <c:extLst>
            <c:ext xmlns:c16="http://schemas.microsoft.com/office/drawing/2014/chart" uri="{C3380CC4-5D6E-409C-BE32-E72D297353CC}">
              <c16:uniqueId val="{00000004-161E-48F0-BA00-CF48156816A7}"/>
            </c:ext>
          </c:extLst>
        </c:ser>
        <c:ser>
          <c:idx val="5"/>
          <c:order val="5"/>
          <c:tx>
            <c:strRef>
              <c:f>cashflow!$J$2</c:f>
              <c:strCache>
                <c:ptCount val="1"/>
                <c:pt idx="0">
                  <c:v>2022-23E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cashflow!$D$24</c:f>
              <c:strCache>
                <c:ptCount val="1"/>
                <c:pt idx="0">
                  <c:v>42,346</c:v>
                </c:pt>
              </c:strCache>
            </c:strRef>
          </c:cat>
          <c:val>
            <c:numRef>
              <c:f>cashflow!$J$24</c:f>
              <c:numCache>
                <c:formatCode>#,##0.00</c:formatCode>
                <c:ptCount val="1"/>
                <c:pt idx="0">
                  <c:v>103109.26237340661</c:v>
                </c:pt>
              </c:numCache>
            </c:numRef>
          </c:val>
          <c:extLst>
            <c:ext xmlns:c16="http://schemas.microsoft.com/office/drawing/2014/chart" uri="{C3380CC4-5D6E-409C-BE32-E72D297353CC}">
              <c16:uniqueId val="{00000005-161E-48F0-BA00-CF48156816A7}"/>
            </c:ext>
          </c:extLst>
        </c:ser>
        <c:ser>
          <c:idx val="6"/>
          <c:order val="6"/>
          <c:tx>
            <c:strRef>
              <c:f>cashflow!$K$2</c:f>
              <c:strCache>
                <c:ptCount val="1"/>
                <c:pt idx="0">
                  <c:v>2023-24E</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cashflow!$D$24</c:f>
              <c:strCache>
                <c:ptCount val="1"/>
                <c:pt idx="0">
                  <c:v>42,346</c:v>
                </c:pt>
              </c:strCache>
            </c:strRef>
          </c:cat>
          <c:val>
            <c:numRef>
              <c:f>cashflow!$K$24</c:f>
              <c:numCache>
                <c:formatCode>#,##0.00</c:formatCode>
                <c:ptCount val="1"/>
                <c:pt idx="0">
                  <c:v>144041.24624725187</c:v>
                </c:pt>
              </c:numCache>
            </c:numRef>
          </c:val>
          <c:extLst>
            <c:ext xmlns:c16="http://schemas.microsoft.com/office/drawing/2014/chart" uri="{C3380CC4-5D6E-409C-BE32-E72D297353CC}">
              <c16:uniqueId val="{00000006-161E-48F0-BA00-CF48156816A7}"/>
            </c:ext>
          </c:extLst>
        </c:ser>
        <c:ser>
          <c:idx val="7"/>
          <c:order val="7"/>
          <c:tx>
            <c:strRef>
              <c:f>cashflow!$L$2</c:f>
              <c:strCache>
                <c:ptCount val="1"/>
                <c:pt idx="0">
                  <c:v>2024-25E</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cashflow!$D$24</c:f>
              <c:strCache>
                <c:ptCount val="1"/>
                <c:pt idx="0">
                  <c:v>42,346</c:v>
                </c:pt>
              </c:strCache>
            </c:strRef>
          </c:cat>
          <c:val>
            <c:numRef>
              <c:f>cashflow!$L$24</c:f>
              <c:numCache>
                <c:formatCode>#,##0.00</c:formatCode>
                <c:ptCount val="1"/>
                <c:pt idx="0">
                  <c:v>166485.82690036111</c:v>
                </c:pt>
              </c:numCache>
            </c:numRef>
          </c:val>
          <c:extLst>
            <c:ext xmlns:c16="http://schemas.microsoft.com/office/drawing/2014/chart" uri="{C3380CC4-5D6E-409C-BE32-E72D297353CC}">
              <c16:uniqueId val="{00000007-161E-48F0-BA00-CF48156816A7}"/>
            </c:ext>
          </c:extLst>
        </c:ser>
        <c:ser>
          <c:idx val="8"/>
          <c:order val="8"/>
          <c:tx>
            <c:strRef>
              <c:f>cashflow!$M$2</c:f>
              <c:strCache>
                <c:ptCount val="1"/>
                <c:pt idx="0">
                  <c:v>2025-26E</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cashflow!$D$24</c:f>
              <c:strCache>
                <c:ptCount val="1"/>
                <c:pt idx="0">
                  <c:v>42,346</c:v>
                </c:pt>
              </c:strCache>
            </c:strRef>
          </c:cat>
          <c:val>
            <c:numRef>
              <c:f>cashflow!$M$24</c:f>
              <c:numCache>
                <c:formatCode>#,##0.00</c:formatCode>
                <c:ptCount val="1"/>
                <c:pt idx="0">
                  <c:v>194129.4969423172</c:v>
                </c:pt>
              </c:numCache>
            </c:numRef>
          </c:val>
          <c:extLst>
            <c:ext xmlns:c16="http://schemas.microsoft.com/office/drawing/2014/chart" uri="{C3380CC4-5D6E-409C-BE32-E72D297353CC}">
              <c16:uniqueId val="{00000008-161E-48F0-BA00-CF48156816A7}"/>
            </c:ext>
          </c:extLst>
        </c:ser>
        <c:ser>
          <c:idx val="9"/>
          <c:order val="9"/>
          <c:tx>
            <c:strRef>
              <c:f>cashflow!$N$2</c:f>
              <c:strCache>
                <c:ptCount val="1"/>
                <c:pt idx="0">
                  <c:v>2026-27E</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cashflow!$D$24</c:f>
              <c:strCache>
                <c:ptCount val="1"/>
                <c:pt idx="0">
                  <c:v>42,346</c:v>
                </c:pt>
              </c:strCache>
            </c:strRef>
          </c:cat>
          <c:val>
            <c:numRef>
              <c:f>cashflow!$N$24</c:f>
              <c:numCache>
                <c:formatCode>#,##0.00</c:formatCode>
                <c:ptCount val="1"/>
                <c:pt idx="0">
                  <c:v>228388.28288075922</c:v>
                </c:pt>
              </c:numCache>
            </c:numRef>
          </c:val>
          <c:extLst>
            <c:ext xmlns:c16="http://schemas.microsoft.com/office/drawing/2014/chart" uri="{C3380CC4-5D6E-409C-BE32-E72D297353CC}">
              <c16:uniqueId val="{00000009-161E-48F0-BA00-CF48156816A7}"/>
            </c:ext>
          </c:extLst>
        </c:ser>
        <c:dLbls>
          <c:dLblPos val="outEnd"/>
          <c:showLegendKey val="0"/>
          <c:showVal val="1"/>
          <c:showCatName val="0"/>
          <c:showSerName val="0"/>
          <c:showPercent val="0"/>
          <c:showBubbleSize val="0"/>
        </c:dLbls>
        <c:gapWidth val="219"/>
        <c:overlap val="-27"/>
        <c:axId val="1449397151"/>
        <c:axId val="1449399231"/>
      </c:barChart>
      <c:catAx>
        <c:axId val="144939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399231"/>
        <c:crosses val="autoZero"/>
        <c:auto val="1"/>
        <c:lblAlgn val="ctr"/>
        <c:lblOffset val="100"/>
        <c:noMultiLvlLbl val="0"/>
      </c:catAx>
      <c:valAx>
        <c:axId val="1449399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397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3</xdr:col>
      <xdr:colOff>1325880</xdr:colOff>
      <xdr:row>9</xdr:row>
      <xdr:rowOff>121920</xdr:rowOff>
    </xdr:to>
    <xdr:pic>
      <xdr:nvPicPr>
        <xdr:cNvPr id="4" name="Picture 3" descr="Careers | Reliance Industries Limited">
          <a:extLst>
            <a:ext uri="{FF2B5EF4-FFF2-40B4-BE49-F238E27FC236}">
              <a16:creationId xmlns:a16="http://schemas.microsoft.com/office/drawing/2014/main" id="{B2AD3D83-44F7-097D-598B-0DAA5AC71A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580" y="0"/>
          <a:ext cx="402336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335280</xdr:colOff>
      <xdr:row>9</xdr:row>
      <xdr:rowOff>106680</xdr:rowOff>
    </xdr:to>
    <xdr:pic>
      <xdr:nvPicPr>
        <xdr:cNvPr id="2" name="Picture 1" descr="Careers | Reliance Industries Limited">
          <a:extLst>
            <a:ext uri="{FF2B5EF4-FFF2-40B4-BE49-F238E27FC236}">
              <a16:creationId xmlns:a16="http://schemas.microsoft.com/office/drawing/2014/main" id="{7E718E4E-D088-1672-688B-1DFB731884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484120" cy="183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838200</xdr:colOff>
      <xdr:row>6</xdr:row>
      <xdr:rowOff>129540</xdr:rowOff>
    </xdr:to>
    <xdr:pic>
      <xdr:nvPicPr>
        <xdr:cNvPr id="3" name="Picture 2" descr="Careers | Reliance Industries Limited">
          <a:extLst>
            <a:ext uri="{FF2B5EF4-FFF2-40B4-BE49-F238E27FC236}">
              <a16:creationId xmlns:a16="http://schemas.microsoft.com/office/drawing/2014/main" id="{6FAA6D4D-6711-4EE7-B841-FBBA5C280A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107180" cy="1226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525780</xdr:colOff>
      <xdr:row>6</xdr:row>
      <xdr:rowOff>144780</xdr:rowOff>
    </xdr:to>
    <xdr:pic>
      <xdr:nvPicPr>
        <xdr:cNvPr id="3" name="Picture 2" descr="Careers | Reliance Industries Limited">
          <a:extLst>
            <a:ext uri="{FF2B5EF4-FFF2-40B4-BE49-F238E27FC236}">
              <a16:creationId xmlns:a16="http://schemas.microsoft.com/office/drawing/2014/main" id="{79F3E19B-BF59-447B-BA20-E1B1409996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640580" cy="1242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5</xdr:row>
      <xdr:rowOff>0</xdr:rowOff>
    </xdr:from>
    <xdr:to>
      <xdr:col>8</xdr:col>
      <xdr:colOff>304800</xdr:colOff>
      <xdr:row>20</xdr:row>
      <xdr:rowOff>0</xdr:rowOff>
    </xdr:to>
    <xdr:graphicFrame macro="">
      <xdr:nvGraphicFramePr>
        <xdr:cNvPr id="3" name="Chart 2">
          <a:extLst>
            <a:ext uri="{FF2B5EF4-FFF2-40B4-BE49-F238E27FC236}">
              <a16:creationId xmlns:a16="http://schemas.microsoft.com/office/drawing/2014/main" id="{E8979202-AFEE-4835-AAE2-7AD49B2D1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5</xdr:row>
      <xdr:rowOff>0</xdr:rowOff>
    </xdr:from>
    <xdr:to>
      <xdr:col>17</xdr:col>
      <xdr:colOff>304800</xdr:colOff>
      <xdr:row>19</xdr:row>
      <xdr:rowOff>53340</xdr:rowOff>
    </xdr:to>
    <xdr:graphicFrame macro="">
      <xdr:nvGraphicFramePr>
        <xdr:cNvPr id="4" name="Chart 3">
          <a:extLst>
            <a:ext uri="{FF2B5EF4-FFF2-40B4-BE49-F238E27FC236}">
              <a16:creationId xmlns:a16="http://schemas.microsoft.com/office/drawing/2014/main" id="{197A9A3C-22DD-4A94-ABBA-48605ACF1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25</xdr:row>
      <xdr:rowOff>0</xdr:rowOff>
    </xdr:from>
    <xdr:to>
      <xdr:col>9</xdr:col>
      <xdr:colOff>403860</xdr:colOff>
      <xdr:row>40</xdr:row>
      <xdr:rowOff>0</xdr:rowOff>
    </xdr:to>
    <xdr:graphicFrame macro="">
      <xdr:nvGraphicFramePr>
        <xdr:cNvPr id="5" name="Chart 4">
          <a:extLst>
            <a:ext uri="{FF2B5EF4-FFF2-40B4-BE49-F238E27FC236}">
              <a16:creationId xmlns:a16="http://schemas.microsoft.com/office/drawing/2014/main" id="{F5115420-78F3-48E8-92C3-DBA42E59B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25</xdr:row>
      <xdr:rowOff>0</xdr:rowOff>
    </xdr:from>
    <xdr:to>
      <xdr:col>17</xdr:col>
      <xdr:colOff>304800</xdr:colOff>
      <xdr:row>39</xdr:row>
      <xdr:rowOff>38100</xdr:rowOff>
    </xdr:to>
    <xdr:graphicFrame macro="">
      <xdr:nvGraphicFramePr>
        <xdr:cNvPr id="6" name="Chart 5">
          <a:extLst>
            <a:ext uri="{FF2B5EF4-FFF2-40B4-BE49-F238E27FC236}">
              <a16:creationId xmlns:a16="http://schemas.microsoft.com/office/drawing/2014/main" id="{72D789E6-CF68-4505-A7C8-F721BFAD6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297180</xdr:colOff>
      <xdr:row>44</xdr:row>
      <xdr:rowOff>160020</xdr:rowOff>
    </xdr:from>
    <xdr:to>
      <xdr:col>8</xdr:col>
      <xdr:colOff>601980</xdr:colOff>
      <xdr:row>59</xdr:row>
      <xdr:rowOff>160020</xdr:rowOff>
    </xdr:to>
    <xdr:graphicFrame macro="">
      <xdr:nvGraphicFramePr>
        <xdr:cNvPr id="7" name="Chart 6">
          <a:extLst>
            <a:ext uri="{FF2B5EF4-FFF2-40B4-BE49-F238E27FC236}">
              <a16:creationId xmlns:a16="http://schemas.microsoft.com/office/drawing/2014/main" id="{92A72D63-BC66-F559-2CBE-082EFC1BF6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44</xdr:row>
      <xdr:rowOff>0</xdr:rowOff>
    </xdr:from>
    <xdr:to>
      <xdr:col>19</xdr:col>
      <xdr:colOff>304800</xdr:colOff>
      <xdr:row>59</xdr:row>
      <xdr:rowOff>0</xdr:rowOff>
    </xdr:to>
    <xdr:graphicFrame macro="">
      <xdr:nvGraphicFramePr>
        <xdr:cNvPr id="8" name="Chart 7">
          <a:extLst>
            <a:ext uri="{FF2B5EF4-FFF2-40B4-BE49-F238E27FC236}">
              <a16:creationId xmlns:a16="http://schemas.microsoft.com/office/drawing/2014/main" id="{9C3E41B5-7EE5-49AE-A7D5-3A6EE25E6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64</xdr:row>
      <xdr:rowOff>0</xdr:rowOff>
    </xdr:from>
    <xdr:to>
      <xdr:col>9</xdr:col>
      <xdr:colOff>304800</xdr:colOff>
      <xdr:row>79</xdr:row>
      <xdr:rowOff>0</xdr:rowOff>
    </xdr:to>
    <xdr:graphicFrame macro="">
      <xdr:nvGraphicFramePr>
        <xdr:cNvPr id="10" name="Chart 9">
          <a:extLst>
            <a:ext uri="{FF2B5EF4-FFF2-40B4-BE49-F238E27FC236}">
              <a16:creationId xmlns:a16="http://schemas.microsoft.com/office/drawing/2014/main" id="{6DD71EBE-ACAF-459E-B191-D1147B3F3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7</xdr:col>
      <xdr:colOff>19046</xdr:colOff>
      <xdr:row>9</xdr:row>
      <xdr:rowOff>141327</xdr:rowOff>
    </xdr:from>
    <xdr:ext cx="1397000" cy="4445"/>
    <xdr:grpSp>
      <xdr:nvGrpSpPr>
        <xdr:cNvPr id="2" name="Group 20">
          <a:extLst>
            <a:ext uri="{FF2B5EF4-FFF2-40B4-BE49-F238E27FC236}">
              <a16:creationId xmlns:a16="http://schemas.microsoft.com/office/drawing/2014/main" id="{8BB4FE34-C848-4CAF-9405-1180312C2532}"/>
            </a:ext>
          </a:extLst>
        </xdr:cNvPr>
        <xdr:cNvGrpSpPr/>
      </xdr:nvGrpSpPr>
      <xdr:grpSpPr>
        <a:xfrm>
          <a:off x="9033506" y="2023467"/>
          <a:ext cx="1397000" cy="4445"/>
          <a:chOff x="0" y="0"/>
          <a:chExt cx="1397000" cy="4445"/>
        </a:xfrm>
      </xdr:grpSpPr>
      <xdr:sp macro="" textlink="">
        <xdr:nvSpPr>
          <xdr:cNvPr id="3" name="Shape 21">
            <a:extLst>
              <a:ext uri="{FF2B5EF4-FFF2-40B4-BE49-F238E27FC236}">
                <a16:creationId xmlns:a16="http://schemas.microsoft.com/office/drawing/2014/main" id="{E56BCC79-4AED-9A6D-D42F-55281C053E27}"/>
              </a:ext>
            </a:extLst>
          </xdr:cNvPr>
          <xdr:cNvSpPr/>
        </xdr:nvSpPr>
        <xdr:spPr>
          <a:xfrm>
            <a:off x="0" y="2222"/>
            <a:ext cx="698500" cy="0"/>
          </a:xfrm>
          <a:custGeom>
            <a:avLst/>
            <a:gdLst/>
            <a:ahLst/>
            <a:cxnLst/>
            <a:rect l="0" t="0" r="0" b="0"/>
            <a:pathLst>
              <a:path w="698500">
                <a:moveTo>
                  <a:pt x="0" y="0"/>
                </a:moveTo>
                <a:lnTo>
                  <a:pt x="698500" y="0"/>
                </a:lnTo>
              </a:path>
            </a:pathLst>
          </a:custGeom>
          <a:ln w="4445">
            <a:solidFill>
              <a:srgbClr val="B1B3B6"/>
            </a:solidFill>
          </a:ln>
        </xdr:spPr>
      </xdr:sp>
      <xdr:sp macro="" textlink="">
        <xdr:nvSpPr>
          <xdr:cNvPr id="4" name="Shape 22">
            <a:extLst>
              <a:ext uri="{FF2B5EF4-FFF2-40B4-BE49-F238E27FC236}">
                <a16:creationId xmlns:a16="http://schemas.microsoft.com/office/drawing/2014/main" id="{19896C9C-1D10-58BA-2CAC-78561A878D30}"/>
              </a:ext>
            </a:extLst>
          </xdr:cNvPr>
          <xdr:cNvSpPr/>
        </xdr:nvSpPr>
        <xdr:spPr>
          <a:xfrm>
            <a:off x="698500" y="2222"/>
            <a:ext cx="698500" cy="0"/>
          </a:xfrm>
          <a:custGeom>
            <a:avLst/>
            <a:gdLst/>
            <a:ahLst/>
            <a:cxnLst/>
            <a:rect l="0" t="0" r="0" b="0"/>
            <a:pathLst>
              <a:path w="698500">
                <a:moveTo>
                  <a:pt x="0" y="0"/>
                </a:moveTo>
                <a:lnTo>
                  <a:pt x="698500" y="0"/>
                </a:lnTo>
              </a:path>
            </a:pathLst>
          </a:custGeom>
          <a:ln w="4445">
            <a:solidFill>
              <a:srgbClr val="B1B3B6"/>
            </a:solidFill>
          </a:ln>
        </xdr:spPr>
      </xdr:sp>
    </xdr:grpSp>
    <xdr:clientData/>
  </xdr:oneCellAnchor>
  <xdr:oneCellAnchor>
    <xdr:from>
      <xdr:col>7</xdr:col>
      <xdr:colOff>19046</xdr:colOff>
      <xdr:row>10</xdr:row>
      <xdr:rowOff>137707</xdr:rowOff>
    </xdr:from>
    <xdr:ext cx="1397000" cy="4445"/>
    <xdr:grpSp>
      <xdr:nvGrpSpPr>
        <xdr:cNvPr id="5" name="Group 23">
          <a:extLst>
            <a:ext uri="{FF2B5EF4-FFF2-40B4-BE49-F238E27FC236}">
              <a16:creationId xmlns:a16="http://schemas.microsoft.com/office/drawing/2014/main" id="{BF986394-94FF-488B-A0DE-7382427290C1}"/>
            </a:ext>
          </a:extLst>
        </xdr:cNvPr>
        <xdr:cNvGrpSpPr/>
      </xdr:nvGrpSpPr>
      <xdr:grpSpPr>
        <a:xfrm>
          <a:off x="9033506" y="2248447"/>
          <a:ext cx="1397000" cy="4445"/>
          <a:chOff x="0" y="0"/>
          <a:chExt cx="1397000" cy="4445"/>
        </a:xfrm>
      </xdr:grpSpPr>
      <xdr:sp macro="" textlink="">
        <xdr:nvSpPr>
          <xdr:cNvPr id="6" name="Shape 24">
            <a:extLst>
              <a:ext uri="{FF2B5EF4-FFF2-40B4-BE49-F238E27FC236}">
                <a16:creationId xmlns:a16="http://schemas.microsoft.com/office/drawing/2014/main" id="{2DAC1DBF-2601-247B-23EF-96C305C932DC}"/>
              </a:ext>
            </a:extLst>
          </xdr:cNvPr>
          <xdr:cNvSpPr/>
        </xdr:nvSpPr>
        <xdr:spPr>
          <a:xfrm>
            <a:off x="0" y="2222"/>
            <a:ext cx="698500" cy="0"/>
          </a:xfrm>
          <a:custGeom>
            <a:avLst/>
            <a:gdLst/>
            <a:ahLst/>
            <a:cxnLst/>
            <a:rect l="0" t="0" r="0" b="0"/>
            <a:pathLst>
              <a:path w="698500">
                <a:moveTo>
                  <a:pt x="0" y="0"/>
                </a:moveTo>
                <a:lnTo>
                  <a:pt x="698500" y="0"/>
                </a:lnTo>
              </a:path>
            </a:pathLst>
          </a:custGeom>
          <a:ln w="4445">
            <a:solidFill>
              <a:srgbClr val="B1B3B6"/>
            </a:solidFill>
          </a:ln>
        </xdr:spPr>
      </xdr:sp>
      <xdr:sp macro="" textlink="">
        <xdr:nvSpPr>
          <xdr:cNvPr id="7" name="Shape 25">
            <a:extLst>
              <a:ext uri="{FF2B5EF4-FFF2-40B4-BE49-F238E27FC236}">
                <a16:creationId xmlns:a16="http://schemas.microsoft.com/office/drawing/2014/main" id="{5002742C-1F5F-C7C2-67AD-0F03EF62B2A2}"/>
              </a:ext>
            </a:extLst>
          </xdr:cNvPr>
          <xdr:cNvSpPr/>
        </xdr:nvSpPr>
        <xdr:spPr>
          <a:xfrm>
            <a:off x="698500" y="2222"/>
            <a:ext cx="698500" cy="0"/>
          </a:xfrm>
          <a:custGeom>
            <a:avLst/>
            <a:gdLst/>
            <a:ahLst/>
            <a:cxnLst/>
            <a:rect l="0" t="0" r="0" b="0"/>
            <a:pathLst>
              <a:path w="698500">
                <a:moveTo>
                  <a:pt x="0" y="0"/>
                </a:moveTo>
                <a:lnTo>
                  <a:pt x="698500" y="0"/>
                </a:lnTo>
              </a:path>
            </a:pathLst>
          </a:custGeom>
          <a:ln w="4445">
            <a:solidFill>
              <a:srgbClr val="B1B3B6"/>
            </a:solidFill>
          </a:ln>
        </xdr:spPr>
      </xdr:sp>
    </xdr:grpSp>
    <xdr:clientData/>
  </xdr:oneCellAnchor>
  <xdr:oneCellAnchor>
    <xdr:from>
      <xdr:col>7</xdr:col>
      <xdr:colOff>19046</xdr:colOff>
      <xdr:row>11</xdr:row>
      <xdr:rowOff>134086</xdr:rowOff>
    </xdr:from>
    <xdr:ext cx="1397000" cy="4445"/>
    <xdr:grpSp>
      <xdr:nvGrpSpPr>
        <xdr:cNvPr id="8" name="Group 26">
          <a:extLst>
            <a:ext uri="{FF2B5EF4-FFF2-40B4-BE49-F238E27FC236}">
              <a16:creationId xmlns:a16="http://schemas.microsoft.com/office/drawing/2014/main" id="{ADFBF9CB-1441-4312-921E-38C0365B9D7C}"/>
            </a:ext>
          </a:extLst>
        </xdr:cNvPr>
        <xdr:cNvGrpSpPr/>
      </xdr:nvGrpSpPr>
      <xdr:grpSpPr>
        <a:xfrm>
          <a:off x="9033506" y="2473426"/>
          <a:ext cx="1397000" cy="4445"/>
          <a:chOff x="0" y="0"/>
          <a:chExt cx="1397000" cy="4445"/>
        </a:xfrm>
      </xdr:grpSpPr>
      <xdr:sp macro="" textlink="">
        <xdr:nvSpPr>
          <xdr:cNvPr id="9" name="Shape 27">
            <a:extLst>
              <a:ext uri="{FF2B5EF4-FFF2-40B4-BE49-F238E27FC236}">
                <a16:creationId xmlns:a16="http://schemas.microsoft.com/office/drawing/2014/main" id="{B364E30B-7108-635D-8E51-DF755409F7B3}"/>
              </a:ext>
            </a:extLst>
          </xdr:cNvPr>
          <xdr:cNvSpPr/>
        </xdr:nvSpPr>
        <xdr:spPr>
          <a:xfrm>
            <a:off x="0" y="2222"/>
            <a:ext cx="698500" cy="0"/>
          </a:xfrm>
          <a:custGeom>
            <a:avLst/>
            <a:gdLst/>
            <a:ahLst/>
            <a:cxnLst/>
            <a:rect l="0" t="0" r="0" b="0"/>
            <a:pathLst>
              <a:path w="698500">
                <a:moveTo>
                  <a:pt x="0" y="0"/>
                </a:moveTo>
                <a:lnTo>
                  <a:pt x="698500" y="0"/>
                </a:lnTo>
              </a:path>
            </a:pathLst>
          </a:custGeom>
          <a:ln w="4445">
            <a:solidFill>
              <a:srgbClr val="B1B3B6"/>
            </a:solidFill>
          </a:ln>
        </xdr:spPr>
      </xdr:sp>
      <xdr:sp macro="" textlink="">
        <xdr:nvSpPr>
          <xdr:cNvPr id="10" name="Shape 28">
            <a:extLst>
              <a:ext uri="{FF2B5EF4-FFF2-40B4-BE49-F238E27FC236}">
                <a16:creationId xmlns:a16="http://schemas.microsoft.com/office/drawing/2014/main" id="{30A26CF0-865C-D906-F100-A7E5EFD672EB}"/>
              </a:ext>
            </a:extLst>
          </xdr:cNvPr>
          <xdr:cNvSpPr/>
        </xdr:nvSpPr>
        <xdr:spPr>
          <a:xfrm>
            <a:off x="698500" y="2222"/>
            <a:ext cx="698500" cy="0"/>
          </a:xfrm>
          <a:custGeom>
            <a:avLst/>
            <a:gdLst/>
            <a:ahLst/>
            <a:cxnLst/>
            <a:rect l="0" t="0" r="0" b="0"/>
            <a:pathLst>
              <a:path w="698500">
                <a:moveTo>
                  <a:pt x="0" y="0"/>
                </a:moveTo>
                <a:lnTo>
                  <a:pt x="698500" y="0"/>
                </a:lnTo>
              </a:path>
            </a:pathLst>
          </a:custGeom>
          <a:ln w="4445">
            <a:solidFill>
              <a:srgbClr val="B1B3B6"/>
            </a:solidFill>
          </a:ln>
        </xdr:spPr>
      </xdr:sp>
    </xdr:grpSp>
    <xdr:clientData/>
  </xdr:oneCellAnchor>
  <xdr:oneCellAnchor>
    <xdr:from>
      <xdr:col>7</xdr:col>
      <xdr:colOff>19046</xdr:colOff>
      <xdr:row>20</xdr:row>
      <xdr:rowOff>152304</xdr:rowOff>
    </xdr:from>
    <xdr:ext cx="1397000" cy="4445"/>
    <xdr:grpSp>
      <xdr:nvGrpSpPr>
        <xdr:cNvPr id="11" name="Group 29">
          <a:extLst>
            <a:ext uri="{FF2B5EF4-FFF2-40B4-BE49-F238E27FC236}">
              <a16:creationId xmlns:a16="http://schemas.microsoft.com/office/drawing/2014/main" id="{0DE84919-7E3F-42D0-B4D9-59A56C5C4399}"/>
            </a:ext>
          </a:extLst>
        </xdr:cNvPr>
        <xdr:cNvGrpSpPr/>
      </xdr:nvGrpSpPr>
      <xdr:grpSpPr>
        <a:xfrm>
          <a:off x="9033506" y="4533804"/>
          <a:ext cx="1397000" cy="4445"/>
          <a:chOff x="0" y="0"/>
          <a:chExt cx="1397000" cy="4445"/>
        </a:xfrm>
      </xdr:grpSpPr>
      <xdr:sp macro="" textlink="">
        <xdr:nvSpPr>
          <xdr:cNvPr id="12" name="Shape 30">
            <a:extLst>
              <a:ext uri="{FF2B5EF4-FFF2-40B4-BE49-F238E27FC236}">
                <a16:creationId xmlns:a16="http://schemas.microsoft.com/office/drawing/2014/main" id="{F9B39CE1-414A-238B-5E54-497BA295E272}"/>
              </a:ext>
            </a:extLst>
          </xdr:cNvPr>
          <xdr:cNvSpPr/>
        </xdr:nvSpPr>
        <xdr:spPr>
          <a:xfrm>
            <a:off x="0" y="2222"/>
            <a:ext cx="698500" cy="0"/>
          </a:xfrm>
          <a:custGeom>
            <a:avLst/>
            <a:gdLst/>
            <a:ahLst/>
            <a:cxnLst/>
            <a:rect l="0" t="0" r="0" b="0"/>
            <a:pathLst>
              <a:path w="698500">
                <a:moveTo>
                  <a:pt x="0" y="0"/>
                </a:moveTo>
                <a:lnTo>
                  <a:pt x="698500" y="0"/>
                </a:lnTo>
              </a:path>
            </a:pathLst>
          </a:custGeom>
          <a:ln w="4445">
            <a:solidFill>
              <a:srgbClr val="B1B3B6"/>
            </a:solidFill>
          </a:ln>
        </xdr:spPr>
      </xdr:sp>
      <xdr:sp macro="" textlink="">
        <xdr:nvSpPr>
          <xdr:cNvPr id="13" name="Shape 31">
            <a:extLst>
              <a:ext uri="{FF2B5EF4-FFF2-40B4-BE49-F238E27FC236}">
                <a16:creationId xmlns:a16="http://schemas.microsoft.com/office/drawing/2014/main" id="{292F86E6-9AEB-C4C6-7418-642425550540}"/>
              </a:ext>
            </a:extLst>
          </xdr:cNvPr>
          <xdr:cNvSpPr/>
        </xdr:nvSpPr>
        <xdr:spPr>
          <a:xfrm>
            <a:off x="698500" y="2222"/>
            <a:ext cx="698500" cy="0"/>
          </a:xfrm>
          <a:custGeom>
            <a:avLst/>
            <a:gdLst/>
            <a:ahLst/>
            <a:cxnLst/>
            <a:rect l="0" t="0" r="0" b="0"/>
            <a:pathLst>
              <a:path w="698500">
                <a:moveTo>
                  <a:pt x="0" y="0"/>
                </a:moveTo>
                <a:lnTo>
                  <a:pt x="698500" y="0"/>
                </a:lnTo>
              </a:path>
            </a:pathLst>
          </a:custGeom>
          <a:ln w="4445">
            <a:solidFill>
              <a:srgbClr val="B1B3B6"/>
            </a:solidFill>
          </a:ln>
        </xdr:spPr>
      </xdr:sp>
    </xdr:grpSp>
    <xdr:clientData/>
  </xdr:one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headers="0" backgroundRefresh="0" connectionId="4" xr16:uid="{37E49F38-636D-4BA2-9966-2DCE048DFF2C}" autoFormatId="16" applyNumberFormats="0" applyBorderFormats="0" applyFontFormats="0" applyPatternFormats="0" applyAlignmentFormats="0" applyWidthHeightFormats="0">
  <queryTableRefresh headersInLastRefresh="0" nextId="6">
    <queryTableFields count="3">
      <queryTableField id="1" name="Column1" tableColumnId="1"/>
      <queryTableField id="2" name="Notes" tableColumnId="2"/>
      <queryTableField id="4" name="As at_x000d__x000a__x000a_31st March, 2019" tableColumnId="4"/>
    </queryTableFields>
    <queryTableDeletedFields count="1">
      <deletedField name="As at_x000d__x000a__x000a_31 March, 2020"/>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1C41CCF9-C4F4-4FF4-B32E-F0218D57FE0B}" autoFormatId="16" applyNumberFormats="0" applyBorderFormats="0" applyFontFormats="0" applyPatternFormats="0" applyAlignmentFormats="0" applyWidthHeightFormats="0">
  <queryTableRefresh nextId="5">
    <queryTableFields count="3">
      <queryTableField id="1" name="Column1" tableColumnId="1"/>
      <queryTableField id="2" name="Notes" tableColumnId="2"/>
      <queryTableField id="4" name="2018-19" tableColumnId="4"/>
    </queryTableFields>
    <queryTableDeletedFields count="1">
      <deletedField name="2019-20"/>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headers="0" connectionId="2" xr16:uid="{8FCC8334-B8BE-47DD-949F-53428452DA5B}" autoFormatId="16" applyNumberFormats="0" applyBorderFormats="0" applyFontFormats="0" applyPatternFormats="0" applyAlignmentFormats="0" applyWidthHeightFormats="0">
  <queryTableRefresh headersInLastRefresh="0" nextId="5">
    <queryTableFields count="4">
      <queryTableField id="1" name="A." tableColumnId="1"/>
      <queryTableField id="2" name="CASH FLOW FROM OPERATING ACTIVITIES" tableColumnId="2"/>
      <queryTableField id="3" dataBound="0" tableColumnId="3"/>
      <queryTableField id="4" name="_1" tableColumnId="4"/>
    </queryTableFields>
    <queryTableDeletedFields count="1">
      <deletedField name="Column1"/>
    </queryTableDeletedFields>
  </queryTableRefresh>
</queryTable>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https://www.bing.com/financeapi/forcetrigger?t=ah82oc&amp;q=XBOM%3a500325&amp;form=skydnc</v>
    <v>Learn more on Bing</v>
  </rv>
  <rv s="1">
    <v>en-IN</v>
    <v>ah82oc</v>
    <v>268435456</v>
    <v>1</v>
    <v>Powered by Refinitiv</v>
    <v>0</v>
    <v>RELIANCE INDUSTRIES LIMITED (XBOM:500325)</v>
    <v>2</v>
    <v>3</v>
    <v>Finance</v>
    <v>4</v>
    <v>2855</v>
    <v>2181</v>
    <v>1.0730999999999999</v>
    <v>23.75</v>
    <v>9.4489999999999991E-3</v>
    <v>INR</v>
    <v>Reliance Industries Limited is an India-based company, which operates in the Oil to Chemicals (O2C), Oil and Gas, Retail, Digital Services and Financial Services segments. The O2C segment includes refining, petrochemicals, fuel retailing through Reliance BP Mobility Limited, aviation fuel and bulk wholesale marketing, and its assets comprises of refinery off-gas cracker, aromatics, gasification, multi-feed and gas crackers along with downstream manufacturing facilities, logistics and supply-chain infrastructure. The Oil and Gas segment includes exploration, development and production of crude oil and natural gas. The Retail segment includes consumer retail and a range of related services. The Digital Services segment includes provision of a range of digital services The Financial Services segment comprises of management and deployment of identified resources of the Company to various activities, including non-banking financial services and insurance broking.</v>
    <v>342982</v>
    <v>Bombay Stock Exchange</v>
    <v>XBOM</v>
    <v>XBOM</v>
    <v>Maker Chambers IV, 3rd Floor, 222, Nariman Point, MUMBAI, MAHARASHTRA, 400021 IN</v>
    <v>2547.5</v>
    <v>Oil &amp; Gas</v>
    <v>Stock</v>
    <v>44932.438356481478</v>
    <v>0</v>
    <v>2518.65</v>
    <v>16669470000000</v>
    <v>RELIANCE INDUSTRIES LIMITED</v>
    <v>RELIANCE INDUSTRIES LIMITED</v>
    <v>2529</v>
    <v>25.45</v>
    <v>2513.5</v>
    <v>2537.25</v>
    <v>6570968000</v>
    <v>500325</v>
    <v>RELIANCE INDUSTRIES LIMITED (XBOM:500325)</v>
    <v>113594</v>
    <v>3491700</v>
    <v>1973</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spb>
    <spb s="4">
      <v>Delayed 15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ichStyles>
</richStyleSheet>
</file>

<file path=xl/tables/_rels/table1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139077A2-0845-48D7-8706-97084327CDE5}" name="Table42" displayName="Table42" ref="A12:G26" totalsRowShown="0">
  <autoFilter ref="A12:G26" xr:uid="{139077A2-0845-48D7-8706-97084327CDE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A397CCA-85DA-47A5-A28F-AEBE5ED9AEBA}" name="particulars"/>
    <tableColumn id="2" xr3:uid="{9CB08355-43E5-4E4A-8937-229B7AD20CDC}" name="2021-22" dataDxfId="293"/>
    <tableColumn id="3" xr3:uid="{A38D373B-E963-49A3-85AE-4C351976CAEF}" name="2022-23" dataDxfId="292"/>
    <tableColumn id="4" xr3:uid="{54A99FB5-74CF-4752-B0DE-44110927235A}" name="2023-24" dataDxfId="291"/>
    <tableColumn id="5" xr3:uid="{EED29956-7760-46EE-B592-45FDA40432A9}" name="2024-25" dataDxfId="290"/>
    <tableColumn id="6" xr3:uid="{A2347B6D-1357-447A-B78D-5419948CC8C0}" name="2025-26" dataDxfId="289"/>
    <tableColumn id="7" xr3:uid="{9677647A-8A56-4EC7-9EC9-0E10A9061C17}" name="2026-27" dataDxfId="288"/>
  </tableColumns>
  <tableStyleInfo name="TableStyleMedium2"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DA2E8CD-A244-43FF-A61F-2B9F0485A89F}" name="Table43" displayName="Table43" ref="A28:G35" headerRowCount="0" totalsRowShown="0" headerRowDxfId="287">
  <tableColumns count="7">
    <tableColumn id="1" xr3:uid="{7C67252D-DADA-4F64-A735-C80BC80A81E8}" name="Column1" headerRowDxfId="286"/>
    <tableColumn id="2" xr3:uid="{D6479381-8AA8-40C5-A0C4-3CBFF47B0927}" name="Column2" headerRowDxfId="285"/>
    <tableColumn id="3" xr3:uid="{561B62DB-A2AA-4BE0-911C-EFB6FFF4906E}" name="Column3" headerRowDxfId="284"/>
    <tableColumn id="4" xr3:uid="{697A170E-ABBF-46B4-9687-06DD851F566C}" name="Column4" headerRowDxfId="283"/>
    <tableColumn id="5" xr3:uid="{6F2463CB-2E83-4AAD-AB8E-E14288CD9D88}" name="Column5" headerRowDxfId="282"/>
    <tableColumn id="6" xr3:uid="{86FD5D32-3EF7-4BA1-A579-EDDFB76B1BD8}" name="Column6" headerRowDxfId="281"/>
    <tableColumn id="7" xr3:uid="{00BA6333-CE9C-4418-A506-A7B6BFF11BD4}" name="Column7" headerRowDxfId="280"/>
  </tableColumns>
  <tableStyleInfo name="TableStyleLight2" showFirstColumn="1" showLastColumn="0" showRowStripes="0"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5E1E3C0B-DA5E-4004-AFDD-93F4C09EFB63}" name="Table38" displayName="Table38" ref="A3:C12" totalsRowShown="0">
  <autoFilter ref="A3:C12" xr:uid="{5E1E3C0B-DA5E-4004-AFDD-93F4C09EFB63}">
    <filterColumn colId="0" hiddenButton="1"/>
    <filterColumn colId="1" hiddenButton="1"/>
    <filterColumn colId="2" hiddenButton="1"/>
  </autoFilter>
  <tableColumns count="3">
    <tableColumn id="1" xr3:uid="{A9BEBFFF-1C6C-4212-B553-6466E6AA0D83}" name="particulard"/>
    <tableColumn id="2" xr3:uid="{DFCEEF90-49D6-47B4-8551-B27953C28883}" name="Column1"/>
    <tableColumn id="3" xr3:uid="{91275787-34B4-4935-8705-258FE9A7F253}" name="details"/>
  </tableColumns>
  <tableStyleInfo name="TableStyleLight9" showFirstColumn="1" showLastColumn="0" showRowStripes="0"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57493D-A838-420F-B613-EC69CDB7D8B7}" name="Table31" displayName="Table31" ref="A25:F28">
  <autoFilter ref="A25:F28" xr:uid="{0E57493D-A838-420F-B613-EC69CDB7D8B7}">
    <filterColumn colId="0" hiddenButton="1"/>
    <filterColumn colId="1" hiddenButton="1"/>
    <filterColumn colId="2" hiddenButton="1"/>
    <filterColumn colId="3" hiddenButton="1"/>
    <filterColumn colId="4" hiddenButton="1"/>
    <filterColumn colId="5" hiddenButton="1"/>
  </autoFilter>
  <tableColumns count="6">
    <tableColumn id="1" xr3:uid="{F5B05E5E-4F1B-4006-BFC9-C4F44DBD487D}" name="elements of capital" totalsRowLabel="Total"/>
    <tableColumn id="2" xr3:uid="{0B844AB9-9D5F-4128-988B-4CA99B13CBCE}" name="Column1"/>
    <tableColumn id="3" xr3:uid="{7D5FE7FB-E025-4878-A06F-400BA0999A6B}" name="cpital employed" dataDxfId="279"/>
    <tableColumn id="4" xr3:uid="{6EF3E5B1-C810-403C-A045-60B7D2E8A580}" name="% of debt"/>
    <tableColumn id="5" xr3:uid="{39634FA2-0B3E-4653-80D5-B98B8B0AD031}" name="cost of equity"/>
    <tableColumn id="6" xr3:uid="{96E45B0B-CE01-4F54-9AD5-A374CE23FFC3}" name="wacc" totalsRowFunction="sum" totalsRowDxfId="278"/>
  </tableColumns>
  <tableStyleInfo name="TableStyleLight9"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899BD55-DE75-4343-BBCF-175B24809CC4}" name="Table32" displayName="Table32" ref="A31:F43" totalsRowShown="0" headerRowDxfId="277">
  <autoFilter ref="A31:F43" xr:uid="{1899BD55-DE75-4343-BBCF-175B24809CC4}">
    <filterColumn colId="0" hiddenButton="1"/>
    <filterColumn colId="1" hiddenButton="1"/>
    <filterColumn colId="2" hiddenButton="1"/>
    <filterColumn colId="3" hiddenButton="1"/>
    <filterColumn colId="4" hiddenButton="1"/>
    <filterColumn colId="5" hiddenButton="1"/>
  </autoFilter>
  <tableColumns count="6">
    <tableColumn id="1" xr3:uid="{3CF130CE-BBB8-4C02-8211-1465DD87ADF7}" name="particulars"/>
    <tableColumn id="2" xr3:uid="{2DA3D24B-0590-40EC-BB0E-2EE2ABDE71A8}" name="2022-23E" dataDxfId="276"/>
    <tableColumn id="3" xr3:uid="{850386BB-0AE4-4808-B2DD-1430F74A96CB}" name="2023-24E" dataDxfId="275"/>
    <tableColumn id="4" xr3:uid="{87B538EE-EEF1-4C70-B0A3-6F15A3E8E79E}" name="2024-25E" dataDxfId="274"/>
    <tableColumn id="5" xr3:uid="{CB9B6DE9-714E-4F27-8A89-D847B8D8FEAF}" name="2025-26E" dataDxfId="273"/>
    <tableColumn id="6" xr3:uid="{21A6959C-B9F1-4F9C-8870-A0AF4A9EAAFB}" name="2026-27E" dataDxfId="272"/>
  </tableColumns>
  <tableStyleInfo name="TableStyleMedium2" showFirstColumn="1" showLastColumn="0" showRowStripes="0" showColumnStripes="1"/>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758B6F84-2944-4745-9E2B-3F10C535CB07}" name="Table33" displayName="Table33" ref="A52:F57" totalsRowShown="0">
  <autoFilter ref="A52:F57" xr:uid="{758B6F84-2944-4745-9E2B-3F10C535CB07}">
    <filterColumn colId="0" hiddenButton="1"/>
    <filterColumn colId="1" hiddenButton="1"/>
    <filterColumn colId="2" hiddenButton="1"/>
    <filterColumn colId="3" hiddenButton="1"/>
    <filterColumn colId="4" hiddenButton="1"/>
    <filterColumn colId="5" hiddenButton="1"/>
  </autoFilter>
  <tableColumns count="6">
    <tableColumn id="1" xr3:uid="{F0F0DE39-F1C9-485B-9621-797B54DDB29A}" name="year"/>
    <tableColumn id="2" xr3:uid="{F562473E-9482-47EF-A5AA-4B94EC19115C}" name="1"/>
    <tableColumn id="3" xr3:uid="{99C8EB5F-347F-4721-858E-2C5900FCC1B3}" name="2"/>
    <tableColumn id="4" xr3:uid="{390854E5-8728-479C-B744-3650925B3B1F}" name="3"/>
    <tableColumn id="5" xr3:uid="{8B31A900-1189-42A1-A9C0-D77BE9F43EB2}" name="4"/>
    <tableColumn id="6" xr3:uid="{31260B86-8B33-4FB5-BBEC-36E434E903BD}" name="5"/>
  </tableColumns>
  <tableStyleInfo name="TableStyleMedium6"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422AA28-90A5-4BB4-B30E-B3228B547C95}" name="Table35" displayName="Table35" ref="A33:K38" totalsRowShown="0" headerRowDxfId="271" headerRowBorderDxfId="270">
  <autoFilter ref="A33:K38" xr:uid="{D422AA28-90A5-4BB4-B30E-B3228B547C9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9E1B6675-2123-4F14-BEF7-DBB8D84D4CFF}" name="Valuation Ratios" dataDxfId="269"/>
    <tableColumn id="2" xr3:uid="{B9A18044-590D-4C2E-9B36-62A1B453169C}" name="Mar-18" dataDxfId="268"/>
    <tableColumn id="3" xr3:uid="{435CBCB2-C4D1-405B-B708-85B24EC434A8}" name="Mar-19" dataDxfId="267"/>
    <tableColumn id="4" xr3:uid="{252D47AC-534D-42AB-B1EC-D0EBDFBD4A7F}" name="Mar-20" dataDxfId="266"/>
    <tableColumn id="5" xr3:uid="{E2EE374D-066E-4F3D-B551-BAD3A95D7DC8}" name="Mar-21" dataDxfId="265"/>
    <tableColumn id="6" xr3:uid="{FB930850-5EE9-43A5-A466-01734950CA97}" name="Mar-22" dataDxfId="264"/>
    <tableColumn id="7" xr3:uid="{81F6081F-832D-465F-BC6A-77102FADEAE6}" name="Mar-23" dataDxfId="263"/>
    <tableColumn id="8" xr3:uid="{63474171-8C5F-46EA-AC46-70F58B04D022}" name="Mar-24" dataDxfId="262"/>
    <tableColumn id="9" xr3:uid="{F601AF28-E1D1-4783-A138-F20691C58665}" name="Mar-25" dataDxfId="261"/>
    <tableColumn id="10" xr3:uid="{8A79B09D-2DD7-40AA-8CA2-2C2B614C13A8}" name="Mar-26" dataDxfId="260"/>
    <tableColumn id="11" xr3:uid="{09C56103-9B3C-4BAE-BB5A-66219502893E}" name="Mar-27" dataDxfId="259"/>
  </tableColumns>
  <tableStyleInfo name="TableStyleMedium3" showFirstColumn="1" showLastColumn="0" showRowStripes="0" showColumnStripes="1"/>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23556F34-B8F4-4824-A75D-7954B506797D}" name="Table36" displayName="Table36" ref="A39:M69" totalsRowShown="0">
  <autoFilter ref="A39:M69" xr:uid="{23556F34-B8F4-4824-A75D-7954B506797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1C5A4608-8D6F-474B-8FB2-A4C9895501EF}" name="particulars"/>
    <tableColumn id="2" xr3:uid="{F00A8177-E86F-4EC7-AD43-E84B258DC669}" name="Column1"/>
    <tableColumn id="3" xr3:uid="{24714740-1A99-46A1-BD90-47002F3F7FD5}" name="Column2"/>
    <tableColumn id="4" xr3:uid="{6F799353-DC6B-4398-9103-9A4620EF55B0}" name="Column3"/>
    <tableColumn id="5" xr3:uid="{76611125-1888-49C8-984E-CBD5EAEA1301}" name="Column4"/>
    <tableColumn id="6" xr3:uid="{92C7D880-C9B6-4DF0-98D9-A74DA39C4D04}" name="EXPECTED figures"/>
    <tableColumn id="7" xr3:uid="{BC92749E-5EFA-459A-9E07-5C6625EEE2A4}" name="Column5"/>
    <tableColumn id="8" xr3:uid="{0F9F2395-CC18-42F4-BBFE-B6381DFA82AA}" name="2022-23E"/>
    <tableColumn id="9" xr3:uid="{0BF4E46C-C695-44F1-A87E-FDC5D7DBBD4A}" name="2023-24E"/>
    <tableColumn id="10" xr3:uid="{6DD4F2FC-E0DA-4CF6-BEAA-1542FBFFB7DE}" name="2024-25E"/>
    <tableColumn id="11" xr3:uid="{31938B6B-BAA2-47BE-BD18-8D4123450FBB}" name="2025-26E"/>
    <tableColumn id="12" xr3:uid="{4DF423B8-3B14-4A54-B15B-29A8E4CFB6F3}" name="2026-27E"/>
    <tableColumn id="13" xr3:uid="{B66782F7-8014-49C1-BD1D-194166974041}" name="average price"/>
  </tableColumns>
  <tableStyleInfo name="TableStyleMedium2" showFirstColumn="1" showLastColumn="0" showRowStripes="0" showColumnStripes="1"/>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BAB04196-7437-408D-8C0F-1FCA4D22D00C}" name="Table37" displayName="Table37" ref="A22:D24" headerRowCount="0" totalsRowShown="0">
  <tableColumns count="4">
    <tableColumn id="1" xr3:uid="{A11FD5B5-B200-433F-9264-27F485E36BB2}" name="Column1"/>
    <tableColumn id="3" xr3:uid="{66DBB7A9-DA3B-410B-B22F-CE605DF5FCDF}" name="Column3"/>
    <tableColumn id="5" xr3:uid="{5CE8CDE3-E57E-4C62-BD46-C0F9A844F4C1}" name="Column5" headerRowDxfId="258"/>
    <tableColumn id="6" xr3:uid="{92CEACBC-66B8-4A8F-A51C-ED4ADC91E93D}" name="Column6" headerRowDxfId="257"/>
  </tableColumns>
  <tableStyleInfo name="TableStyleLight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4AE51C2-86E8-49CE-94C9-0F0BF6DC9D52}" name="Table39" displayName="Table39" ref="A72:I78" totalsRowShown="0">
  <autoFilter ref="A72:I78" xr:uid="{04AE51C2-86E8-49CE-94C9-0F0BF6DC9D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7F39E74A-B18D-4BEA-8DB8-91F23692891B}" name="particulars"/>
    <tableColumn id="2" xr3:uid="{51F1E077-F6DD-4AA7-9D62-80DD117ABD20}" name="Column1"/>
    <tableColumn id="3" xr3:uid="{4254B8E2-AAAF-458C-9482-C355C1B001D2}" name="Column2"/>
    <tableColumn id="4" xr3:uid="{250E277C-1D44-4CEC-861E-40121A55B70F}" name="Column3"/>
    <tableColumn id="5" xr3:uid="{656B5B42-E200-4781-8C45-FADB6A39F42E}" name="Column4"/>
    <tableColumn id="6" xr3:uid="{214386E7-E288-43C4-AE16-79CA002C17C1}" name="Column5"/>
    <tableColumn id="7" xr3:uid="{200E8FCA-76FB-4811-90A0-4573ACDAFC80}" name="2021-22"/>
    <tableColumn id="8" xr3:uid="{9128A56E-14E0-4353-BB02-D807AF55AB94}" name="2022-23E"/>
    <tableColumn id="9" xr3:uid="{42862D28-F0DC-4DA2-80DF-8D9E74572181}" name="2023-24E"/>
  </tableColumns>
  <tableStyleInfo name="TableStyleLight10"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358828B4-F02C-4979-B1C9-22D6F4544A3F}" name="Table40" displayName="Table40" ref="A81:G87" totalsRowShown="0">
  <autoFilter ref="A81:G87" xr:uid="{358828B4-F02C-4979-B1C9-22D6F4544A3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E86FA30-E2E3-417D-A906-D91267AB8A6E}" name="analysis"/>
    <tableColumn id="2" xr3:uid="{BD5E57D4-1428-439D-8B8A-81FEAC4E1E15}" name="Column1"/>
    <tableColumn id="3" xr3:uid="{59EF0ACD-F6C5-4DC2-A517-EE001A91B63D}" name="Column2"/>
    <tableColumn id="4" xr3:uid="{BA40BF11-2751-4389-9D95-0AE5890EEEF2}" name="2018-19"/>
    <tableColumn id="5" xr3:uid="{633804D7-4B5C-4B81-A494-9122886F83FE}" name="2019-20"/>
    <tableColumn id="6" xr3:uid="{AC14C7F6-8482-4236-B528-D902E5DCA8D5}" name="2020-21"/>
    <tableColumn id="7" xr3:uid="{1C343250-2C7E-4422-A184-B7F733BC2F2A}" name="2021-22"/>
  </tableColumns>
  <tableStyleInfo name="TableStyleLight9" showFirstColumn="1" showLastColumn="0" showRowStripes="0" showColumnStripes="1"/>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5FE2983-5F5B-4109-8AC3-59C3C2A1CB23}" name="Table41" displayName="Table41" ref="A8:I11" totalsRowShown="0">
  <autoFilter ref="A8:I11" xr:uid="{45FE2983-5F5B-4109-8AC3-59C3C2A1CB2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C322112D-129C-4DB7-9472-847A956E8341}" name="particulars"/>
    <tableColumn id="2" xr3:uid="{0CBFCB95-18AC-4175-BFDF-ED75D7FE673E}" name="0"/>
    <tableColumn id="3" xr3:uid="{0DA11FD7-EC9A-4E4E-8F69-18681FA8AD2B}" name="."/>
    <tableColumn id="4" xr3:uid="{77E931EB-CA69-436A-B30B-FEFB5320E79E}" name=".2"/>
    <tableColumn id="5" xr3:uid="{1ECC9530-35FB-4128-9A23-A8801A694387}" name=" "/>
    <tableColumn id="6" xr3:uid="{2726722A-FB24-4E8B-88AD-95B349241487}" name=" 2"/>
    <tableColumn id="7" xr3:uid="{448B4C6A-06B8-49A5-831A-05EBD641905C}" name=" 3" dataDxfId="256"/>
    <tableColumn id="8" xr3:uid="{32FACBC2-16F4-468D-98B9-24C8172F7C29}" name="1year"/>
    <tableColumn id="9" xr3:uid="{DA25CCFC-B0B1-4061-9123-6F7BAFBBBC41}" name="2year"/>
  </tableColumns>
  <tableStyleInfo name="TableStyleMedium2" showFirstColumn="1" showLastColumn="0" showRowStripes="0" showColumnStripes="1"/>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6473F7-0EB3-4C39-B7EA-CF72EF0F23F1}" name="Table_054" displayName="Table_054" ref="A3:C59" tableType="queryTable" headerRowCount="0" headerRowDxfId="255" dataDxfId="254" totalsRowDxfId="253">
  <tableColumns count="3">
    <tableColumn id="1" xr3:uid="{1F83E25A-9766-472C-BC1D-C3A633E2FCBF}" uniqueName="1" name="Column1" totalsRowLabel="Total" queryTableFieldId="1" dataDxfId="252"/>
    <tableColumn id="2" xr3:uid="{7F2723F7-04E2-4F53-8F20-3919E49CC6FD}" uniqueName="2" name="Notes" queryTableFieldId="2" dataDxfId="251"/>
    <tableColumn id="4" xr3:uid="{B0B5315B-F9D6-43FB-B7B9-0773ABCA5490}" uniqueName="4" name="As at_x000d__x000a__x000a_31st March, 2019" totalsRowFunction="sum" queryTableFieldId="4" dataDxfId="250"/>
  </tableColumns>
  <tableStyleInfo name="TableStyleMedium7"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DDFDBE-D20E-47EF-A284-C5A05B4F973C}" name="Table_0__2" displayName="Table_0__2" ref="A1:C51" tableType="queryTable" totalsRowShown="0" headerRowDxfId="249" dataDxfId="248">
  <tableColumns count="3">
    <tableColumn id="1" xr3:uid="{97D34E17-8E95-49C3-A5A9-401496983031}" uniqueName="1" name="PROFIT/LOSS" queryTableFieldId="1" dataDxfId="247"/>
    <tableColumn id="2" xr3:uid="{F48E99C8-28DA-4F7D-B982-EFEDF2F5A04B}" uniqueName="2" name="Notes" queryTableFieldId="2" dataDxfId="246"/>
    <tableColumn id="4" xr3:uid="{5B59E527-C928-456F-85AF-6DD0853194C6}" uniqueName="4" name="2018-19" queryTableFieldId="4" dataDxfId="245"/>
  </tableColumns>
  <tableStyleInfo name="TableStyleMedium7"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35EA16D-79F6-4DB4-9DF8-C7B33B31DF52}" name="Table_0__3" displayName="Table_0__3" ref="A4:D53" tableType="queryTable" headerRowCount="0" totalsRowShown="0" headerRowDxfId="244" dataDxfId="243">
  <tableColumns count="4">
    <tableColumn id="1" xr3:uid="{A248F833-5629-4DB9-AE49-D98E16B69516}" uniqueName="1" name="A." queryTableFieldId="1" headerRowDxfId="242" dataDxfId="241"/>
    <tableColumn id="2" xr3:uid="{5CAF610C-47E4-408F-A0BA-12B8C26A683E}" uniqueName="2" name="CASH FLOW FROM OPERATING ACTIVITIES" queryTableFieldId="2" headerRowDxfId="240" dataDxfId="239"/>
    <tableColumn id="3" xr3:uid="{335955E0-68E5-4BE1-B241-9729F92E036A}" uniqueName="3" name="2019-20" queryTableFieldId="3" headerRowDxfId="238" dataDxfId="237"/>
    <tableColumn id="4" xr3:uid="{380D9442-EB82-471B-AC80-1FC350D38C02}" uniqueName="4" name="2018-19" queryTableFieldId="4" headerRowDxfId="236" dataDxfId="235"/>
  </tableColumns>
  <tableStyleInfo name="TableStyleMedium7"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4F9C263-D3ED-40B1-B92C-64A6AFBA5443}" name="Table7" displayName="Table7" ref="B8:AA31" totalsRowShown="0" headerRowDxfId="234" dataDxfId="233">
  <autoFilter ref="B8:AA31" xr:uid="{54F9C263-D3ED-40B1-B92C-64A6AFBA544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E4FDBE2B-6210-4F52-B929-E8A6BCA41C2E}" name="particulars" dataDxfId="232"/>
    <tableColumn id="2" xr3:uid="{914BEBDE-BCFE-4C1A-94C9-35C7F3B1427D}" name="Balance_x000a_as at_x000a_1st April,_x000a_2020" dataDxfId="231"/>
    <tableColumn id="3" xr3:uid="{616F8B1D-8734-4FA2-B77A-4BD4481F38E0}" name="Total_x000a_Comprehensive_x000a_Income for the_x000a_Year" dataDxfId="230"/>
    <tableColumn id="4" xr3:uid="{B55E6ADE-2766-41C0-BFE8-CBB6D0E9AC91}" name="Dividend" dataDxfId="229"/>
    <tableColumn id="5" xr3:uid="{77C4B88B-3C69-4E92-9BA6-119D6A618B29}" name="Tax on_x000a_Dividend" dataDxfId="228"/>
    <tableColumn id="6" xr3:uid="{6FF74AE9-31A1-4E50-AE54-6AE1AA3942CD}" name="Transfer_x000a_(to)/from_x000a_Retained_x000a_Earnings" dataDxfId="227"/>
    <tableColumn id="7" xr3:uid="{7646414F-3C9E-46E2-BDCB-59EE52500177}" name="On_x000a_Employee_x000a_Stock_x000a_Options" dataDxfId="226"/>
    <tableColumn id="8" xr3:uid="{AEE26A8C-4B6F-44AE-8D90-196B63CBCCC6}" name="Others" dataDxfId="225"/>
    <tableColumn id="9" xr3:uid="{6BF1FD09-E657-4A43-96BA-827F20EBCF6F}" name="Balance_x000a_as at_x000a_1st April,_x000a_20202" dataDxfId="224"/>
    <tableColumn id="10" xr3:uid="{229B35CA-B016-4573-BE8B-723ADBE87B2E}" name="Total_x000a_Comprehensive_x000a_Income for the_x000a_Year3" dataDxfId="223"/>
    <tableColumn id="11" xr3:uid="{B612CF8B-3084-4CA6-B08C-54F66D7D43E6}" name="Column4" dataDxfId="222"/>
    <tableColumn id="12" xr3:uid="{9506747E-2189-4613-A93D-CDE2DB28DAEE}" name="Transfer_x000a_(to)/from_x000a_Retained_x000a_Earnings5" dataDxfId="221"/>
    <tableColumn id="13" xr3:uid="{DFDCE7A1-5672-4FA5-96BF-A0CB1469D5C8}" name="Transfer_x000a_(to)/from_x000a_General_x000a_Reserve" dataDxfId="220"/>
    <tableColumn id="14" xr3:uid="{78637B7D-96A4-4A65-A4F5-99B149E6C56A}" name="On Rights_x000a_Issue*" dataDxfId="219"/>
    <tableColumn id="15" xr3:uid="{7FE426B0-B43B-4CA9-BCD9-54A110F88326}" name="On Employee_x000a_Stock_x000a_Options" dataDxfId="218"/>
    <tableColumn id="16" xr3:uid="{1FE7E341-CF23-4ED5-98E0-B7BCF359188B}" name="Column6" dataDxfId="217"/>
    <tableColumn id="17" xr3:uid="{2E85157F-0802-4555-BE1B-7DCC1C839762}" name="Balance as at_x000a_31st March,_x000a_2021" dataDxfId="216"/>
    <tableColumn id="18" xr3:uid="{0522A3EC-0298-465A-AC6C-672DD1203BC5}" name="Balance_x000a_as at 1st April,_x000a_2021" dataDxfId="215"/>
    <tableColumn id="19" xr3:uid="{21537B58-FE9D-4149-B052-9C6B4ED2D1AB}" name="Total Comprehensive Income for the_x000a_Year" dataDxfId="214"/>
    <tableColumn id="20" xr3:uid="{D3EA39FC-211B-4F30-AA69-E0AF77E44E95}" name="Dividend7" dataDxfId="213"/>
    <tableColumn id="21" xr3:uid="{820812C9-4D85-46BD-8B06-C0DBBF58E9FE}" name="Transfer (to) / from Retained Earnings" dataDxfId="212"/>
    <tableColumn id="22" xr3:uid="{13A75579-3F0E-4CFF-BB73-E7D8D6E96FBC}" name="Transfer (to) / from General Reserve" dataDxfId="211"/>
    <tableColumn id="23" xr3:uid="{2EC823F2-8D2A-4281-8D44-CE653B445826}" name="On Rights Issue *" dataDxfId="210"/>
    <tableColumn id="24" xr3:uid="{CD18EE26-9F31-44D0-9438-67DB5BC327C9}" name="On Employee_x000a_Stock Options" dataDxfId="209"/>
    <tableColumn id="25" xr3:uid="{B3BADE14-EBAE-47DD-9373-57966BE0EF19}" name="Others8" dataDxfId="208"/>
    <tableColumn id="26" xr3:uid="{B580AA3E-E5D1-4DF5-8D84-F9EEFBE1A63B}" name="Balance as at 31st March, 2022" dataDxfId="207"/>
  </tableColumns>
  <tableStyleInfo name="TableStyleLight10"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5FA570D-D949-4413-B743-EFB533A53B5A}" name="Table11" displayName="Table11" ref="B33:J40" totalsRowShown="0" headerRowDxfId="206" dataDxfId="205">
  <autoFilter ref="B33:J40" xr:uid="{35FA570D-D949-4413-B743-EFB533A53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93E6055-7641-48D6-9A75-79F1C49D90DB}" name="Column1" dataDxfId="204"/>
    <tableColumn id="2" xr3:uid="{B6D8825F-1D6F-4AC0-974F-5D6266A50D4A}" name="2019-20" dataDxfId="203"/>
    <tableColumn id="3" xr3:uid="{E2B71C7B-20DC-491B-B669-AC73757E69EC}" name="2020-21" dataDxfId="202"/>
    <tableColumn id="4" xr3:uid="{656DF40E-EB6F-421E-8307-55C02DB10CEC}" name="2021-22" dataDxfId="201"/>
    <tableColumn id="5" xr3:uid="{540180D7-2EF1-47FF-958C-E26DCBAE3211}" name="2022-23e" dataDxfId="200">
      <calculatedColumnFormula>profitloss!G34</calculatedColumnFormula>
    </tableColumn>
    <tableColumn id="6" xr3:uid="{28DCDAD5-291D-4DA3-BBB2-ED8716F0623E}" name="2023-24" dataDxfId="199"/>
    <tableColumn id="7" xr3:uid="{1E2917A5-E7D5-4491-9127-AD8CE9A3361A}" name="2024-25" dataDxfId="198"/>
    <tableColumn id="8" xr3:uid="{02845C81-7E2E-4C27-83B0-0E56F2174935}" name="2025-26" dataDxfId="197"/>
    <tableColumn id="9" xr3:uid="{4520B93C-55FB-4E9F-842F-571A50AC835D}" name="2026-27" dataDxfId="196"/>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77535D2F-893F-4340-95D9-1E0A061A53AA}" name="Table30" displayName="Table30" ref="B45:J52" totalsRowShown="0" headerRowDxfId="195" dataDxfId="194">
  <autoFilter ref="B45:J52" xr:uid="{77535D2F-893F-4340-95D9-1E0A061A53A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20BB327-0233-451C-AFEA-113C7DC03D69}" name="NCI" dataDxfId="193"/>
    <tableColumn id="2" xr3:uid="{87558D3E-0576-4199-9547-DC7B45049063}" name="Column1" dataDxfId="192"/>
    <tableColumn id="3" xr3:uid="{89E71F4D-91C0-4D4E-BD94-29608A0BE183}" name="Column2" dataDxfId="191"/>
    <tableColumn id="4" xr3:uid="{6A0C2B6B-E6C3-448F-B977-ADD04044586F}" name="Column3" dataDxfId="190"/>
    <tableColumn id="5" xr3:uid="{A8367FEE-9730-412B-9484-DCB29B4458D9}" name="2022-23e" dataDxfId="189"/>
    <tableColumn id="6" xr3:uid="{6ABACF3E-7CB9-4E53-A47A-8FF2182956D9}" name="2023-24" dataDxfId="188"/>
    <tableColumn id="7" xr3:uid="{3064AE31-9EBE-4A11-8F10-A6D60952B2CB}" name="2024-25" dataDxfId="187"/>
    <tableColumn id="8" xr3:uid="{9C1764E8-5ADD-41FE-B9E7-2A6FE41D9A6D}" name="2025-26" dataDxfId="186"/>
    <tableColumn id="9" xr3:uid="{AFB55000-F9D4-4173-86F7-41089EE33CE9}" name="2026-27" dataDxfId="185"/>
  </tableColumns>
  <tableStyleInfo name="TableStyleMedium10" showFirstColumn="1" showLastColumn="0" showRowStripes="0" showColumnStripes="1"/>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B683D1E-7211-4E4A-8A0B-951EE025446A}" name="Table24" displayName="Table24" ref="A25:F45" totalsRowShown="0">
  <autoFilter ref="A25:F45" xr:uid="{7B683D1E-7211-4E4A-8A0B-951EE025446A}">
    <filterColumn colId="0" hiddenButton="1"/>
    <filterColumn colId="1" hiddenButton="1"/>
    <filterColumn colId="2" hiddenButton="1"/>
    <filterColumn colId="3" hiddenButton="1"/>
    <filterColumn colId="4" hiddenButton="1"/>
    <filterColumn colId="5" hiddenButton="1"/>
  </autoFilter>
  <tableColumns count="6">
    <tableColumn id="1" xr3:uid="{D90401DB-3C3A-485A-BCA2-ECDBEDB8CBBC}" name="capital required"/>
    <tableColumn id="2" xr3:uid="{511472B2-3FE3-4E9D-BC9D-BABFF355712D}" name="2022-23E"/>
    <tableColumn id="3" xr3:uid="{4016E3CA-E771-4FF5-A79D-3427610520E6}" name="2022-23E2"/>
    <tableColumn id="4" xr3:uid="{4B939275-575D-455C-AD14-33F6CB0BDAFA}" name="2022-23E3"/>
    <tableColumn id="5" xr3:uid="{B861D044-6169-46D8-8BA4-1374EEE4A55E}" name="2022-23E4"/>
    <tableColumn id="6" xr3:uid="{8F147295-CDC6-471E-A65E-53315B9BA0FD}" name="2022-23E5"/>
  </tableColumns>
  <tableStyleInfo name="TableStyleMedium9"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32445A7-F686-4A83-B878-99D98FA44403}" name="Table25" displayName="Table25" ref="A3:E20" totalsRowShown="0">
  <autoFilter ref="A3:E20" xr:uid="{532445A7-F686-4A83-B878-99D98FA44403}">
    <filterColumn colId="0" hiddenButton="1"/>
    <filterColumn colId="1" hiddenButton="1"/>
    <filterColumn colId="2" hiddenButton="1"/>
    <filterColumn colId="3" hiddenButton="1"/>
    <filterColumn colId="4" hiddenButton="1"/>
  </autoFilter>
  <tableColumns count="5">
    <tableColumn id="1" xr3:uid="{D011A03A-DD87-4DC3-AAD7-AC4FCB18F68D}" name="Total Non-Current Liabilities"/>
    <tableColumn id="2" xr3:uid="{CDB81507-CC7B-439B-B9F7-AEF7403DADC5}" name="289692"/>
    <tableColumn id="3" xr3:uid="{69CAEB18-6311-4C2D-8E1E-5FF551812B1A}" name="291652"/>
    <tableColumn id="4" xr3:uid="{8541E834-3396-41B9-8633-49D011704024}" name="244212"/>
    <tableColumn id="5" xr3:uid="{DAEA0828-151F-4F00-9F4F-E6137FE1B8CC}" name="302019"/>
  </tableColumns>
  <tableStyleInfo name="TableStyleMedium4"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BAF3E78-2C62-4157-85CB-C08128276056}" name="Table26" displayName="Table26" ref="H24:N29" totalsRowShown="0">
  <autoFilter ref="H24:N29" xr:uid="{1BAF3E78-2C62-4157-85CB-C0812827605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C42E212-2F24-4433-8C47-28901D3794AD}" name="particulars"/>
    <tableColumn id="2" xr3:uid="{04B06884-E1B2-4075-9611-8EF651964038}" name="2021-22"/>
    <tableColumn id="3" xr3:uid="{12158EC5-1FBE-447C-B78C-E5F192BBAE1E}" name="2022-23E"/>
    <tableColumn id="4" xr3:uid="{59D3CE77-D77F-4EC8-8A2A-C3B3C7575A22}" name="2022-23E2"/>
    <tableColumn id="5" xr3:uid="{59C27916-F12E-4494-ACD6-3966FFE62EDC}" name="2022-23E3"/>
    <tableColumn id="6" xr3:uid="{B4953CB7-57C8-4DEF-9E45-6F96288A939D}" name="2022-23E4"/>
    <tableColumn id="7" xr3:uid="{87870168-65C3-4E50-8991-B673BCA0B3E2}" name="2022-23E5"/>
  </tableColumns>
  <tableStyleInfo name="TableStyleLight3"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BE06374-EB27-426A-939F-81BAF9C3EE31}" name="Table27" displayName="Table27" ref="A1:K23" totalsRowShown="0" headerRowDxfId="184" dataDxfId="183">
  <autoFilter ref="A1:K23" xr:uid="{8BE06374-EB27-426A-939F-81BAF9C3EE3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6A5AFC9F-4A2B-4AD8-BBD9-D5ACFEA001FE}" name="working capital" dataDxfId="182"/>
    <tableColumn id="2" xr3:uid="{ADFA0D07-7DFE-4AEB-85FE-14AB090CE1B9}" name="Column1" dataDxfId="181"/>
    <tableColumn id="3" xr3:uid="{A5C1CAF8-232C-4C55-9D09-387F6F770A11}" name="2018-19" dataDxfId="180"/>
    <tableColumn id="4" xr3:uid="{1FEAD5FC-0028-4CAC-BCD2-B9F43C070AEB}" name="2019-20" dataDxfId="179"/>
    <tableColumn id="5" xr3:uid="{E4F88D27-0E7E-4D6F-B365-5AD130BDC456}" name="2020-21" dataDxfId="178"/>
    <tableColumn id="6" xr3:uid="{E265365A-F18D-460A-86E9-F45D2188C1B0}" name="2021-22" dataDxfId="177"/>
    <tableColumn id="7" xr3:uid="{47ECCBDC-4366-4395-BEDC-62048D5C31D1}" name="2022-23E" dataDxfId="176"/>
    <tableColumn id="8" xr3:uid="{39A1E5A4-4A38-4E4F-AC3F-C6D096A18D35}" name="2023-24E" dataDxfId="175"/>
    <tableColumn id="9" xr3:uid="{EC72F5E2-0715-483F-9FDC-55DD5A6E29F5}" name="2024-25E" dataDxfId="174"/>
    <tableColumn id="10" xr3:uid="{AE9E9D54-0825-4612-B305-CFD90AE4835B}" name="2025-26E" dataDxfId="173"/>
    <tableColumn id="11" xr3:uid="{B04868B6-5AC9-4E28-B163-D218DA49EDB3}" name="2026-27E" dataDxfId="172"/>
  </tableColumns>
  <tableStyleInfo name="TableStyleLight3"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5FD254C-C3D8-4200-B8F1-6223726DFAAC}" name="Table8" displayName="Table8" ref="B43:L52" totalsRowShown="0" headerRowDxfId="171" dataDxfId="170">
  <autoFilter ref="B43:L52" xr:uid="{65FD254C-C3D8-4200-B8F1-6223726DFA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AB1C8053-8F52-45CD-AFF2-DD0BDC2E310D}" name="summary" dataDxfId="169"/>
    <tableColumn id="2" xr3:uid="{23BA8968-FB2C-4A40-AC4E-DF70BF599AD4}" name="opening bal" dataDxfId="168"/>
    <tableColumn id="3" xr3:uid="{E45613F7-F3AC-401F-BFF6-B88A47F78980}" name="additions" dataDxfId="167"/>
    <tableColumn id="4" xr3:uid="{134DEABD-182C-42F6-8868-EA04C0926A34}" name="deductions" dataDxfId="166"/>
    <tableColumn id="5" xr3:uid="{07E8E1BF-A100-4755-A91A-10DD222277F9}" name="closing bal" dataDxfId="165"/>
    <tableColumn id="6" xr3:uid="{D8CDBB80-412A-4CBC-BD89-86B3AC7AF4CA}" name="opening bal2" dataDxfId="164"/>
    <tableColumn id="7" xr3:uid="{0C4D94AF-A37E-40F6-8969-67313AC8A98F}" name="additions3" dataDxfId="163"/>
    <tableColumn id="8" xr3:uid="{11A5006D-41BB-4942-BB07-0663452785A3}" name="deductions4" dataDxfId="162"/>
    <tableColumn id="9" xr3:uid="{0B530658-121F-44E8-9210-1D91F4FAB4C9}" name="closing bal5" dataDxfId="161"/>
    <tableColumn id="10" xr3:uid="{E314B1A4-3694-4C7C-ACDB-CC5AB742E0BD}" name="opening" dataDxfId="160"/>
    <tableColumn id="11" xr3:uid="{B5B57C1B-1073-4626-AF77-B57880974CE8}" name="closing" dataDxfId="159"/>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9BCB6EF-DD7E-4213-92A1-7B8CBCBD434C}" name="Table9" displayName="Table9" ref="P43:Z52" totalsRowShown="0" headerRowDxfId="158" dataDxfId="157">
  <autoFilter ref="P43:Z52" xr:uid="{09BCB6EF-DD7E-4213-92A1-7B8CBCBD434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865DBC73-5C76-4DD6-9446-734F76F49C31}" name="PARTICULARS" dataDxfId="156"/>
    <tableColumn id="2" xr3:uid="{919C5AB3-DB82-49AA-87D9-42EF118C9F88}" name="OPENING BAL" dataDxfId="155"/>
    <tableColumn id="3" xr3:uid="{9DA72A1F-8B3A-44B9-9854-A9BB30A7CA7B}" name="ADDITION" dataDxfId="154"/>
    <tableColumn id="4" xr3:uid="{82094D9D-1B8F-409C-95AE-183514E80B0F}" name="DELETION" dataDxfId="153"/>
    <tableColumn id="5" xr3:uid="{F529A6DB-1FC6-4DAA-97A3-69983F056BE0}" name="CLOSINGBAL" dataDxfId="152"/>
    <tableColumn id="6" xr3:uid="{AD27EB77-D446-4CF1-AEED-8F351490EEB5}" name="OPENING DEP" dataDxfId="151"/>
    <tableColumn id="7" xr3:uid="{EBB015B4-F57F-4DA8-9E50-692FD24FAB4B}" name="ADD DEP" dataDxfId="150"/>
    <tableColumn id="8" xr3:uid="{80ECEF6A-83BC-454E-8362-B8B16CD90DC1}" name="REDUCTIONS" dataDxfId="149"/>
    <tableColumn id="9" xr3:uid="{C2A0F47F-1404-433E-99CE-C175FAB7F6C6}" name="CLOSING DEO" dataDxfId="148"/>
    <tableColumn id="10" xr3:uid="{27D99D2F-57A8-42C9-BF8D-238D514E16A9}" name="CLOSING BAL" dataDxfId="147"/>
    <tableColumn id="11" xr3:uid="{45FC9413-2C8C-4A65-A547-C241C0B2DCEE}" name="OPENING BAL2" dataDxfId="146"/>
  </tableColumns>
  <tableStyleInfo name="TableStyleMedium9"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8C3F69B-D591-4370-BDD6-DA0720145A07}" name="Table911" displayName="Table911" ref="AB43:AL52" totalsRowShown="0" headerRowDxfId="145" dataDxfId="144">
  <autoFilter ref="AB43:AL52" xr:uid="{88C3F69B-D591-4370-BDD6-DA0720145A07}"/>
  <tableColumns count="11">
    <tableColumn id="1" xr3:uid="{01386085-2E23-4806-AA3F-E8FBE040C700}" name="PARTICULARS" dataDxfId="143"/>
    <tableColumn id="2" xr3:uid="{936597DD-9D00-4B4D-B623-C5EA07BCE024}" name="OPENING BAL" dataDxfId="142"/>
    <tableColumn id="3" xr3:uid="{5AFE3CCC-FFA5-436B-ACE0-F375617389D3}" name="ADDITION" dataDxfId="141"/>
    <tableColumn id="4" xr3:uid="{4669736A-74F9-42CA-858D-C37221D832C0}" name="DELETION" dataDxfId="140"/>
    <tableColumn id="5" xr3:uid="{14A39652-E4EF-489A-ADBD-9A0A1E5899FF}" name="CLOSINGBAL" dataDxfId="139"/>
    <tableColumn id="6" xr3:uid="{5F5865A1-C7E5-46EA-BE7B-D8AA293E357B}" name="OPENING DEP" dataDxfId="138"/>
    <tableColumn id="7" xr3:uid="{803083E8-F80E-460E-A9CE-FD10F9F4A461}" name="ADD DEP" dataDxfId="137"/>
    <tableColumn id="8" xr3:uid="{87410323-559F-49DE-A17D-75CE9100B2CE}" name="REDUCTIONS" dataDxfId="136"/>
    <tableColumn id="9" xr3:uid="{7405E403-2186-4FC7-BB82-B14B3DC9C151}" name="CLOSING DEO" dataDxfId="135"/>
    <tableColumn id="10" xr3:uid="{D8C7B304-CB14-485F-B012-384B170DEFE6}" name="CLOSING BAL" dataDxfId="134"/>
    <tableColumn id="11" xr3:uid="{188FE2D0-1257-4817-99C6-439DB33AACFC}" name="OPENING BAL2" dataDxfId="133"/>
  </tableColumns>
  <tableStyleInfo name="TableStyleMedium9"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C6C4304-0225-4257-8E2A-89399EEA9F77}" name="Table12" displayName="Table12" ref="B55:D59" totalsRowShown="0" headerRowDxfId="132" dataDxfId="131">
  <autoFilter ref="B55:D59" xr:uid="{9C6C4304-0225-4257-8E2A-89399EEA9F77}">
    <filterColumn colId="0" hiddenButton="1"/>
    <filterColumn colId="1" hiddenButton="1"/>
    <filterColumn colId="2" hiddenButton="1"/>
  </autoFilter>
  <tableColumns count="3">
    <tableColumn id="1" xr3:uid="{C7DE6FD7-6F4F-452D-B055-9CFBB9A922F6}" name="CURRENT SUMMARY" dataDxfId="130"/>
    <tableColumn id="4" xr3:uid="{AD5C833C-B874-4A39-A0E2-379C154E48C8}" name="FIXED ASSET %" dataDxfId="129"/>
    <tableColumn id="5" xr3:uid="{BA697FDA-A82F-43F8-A65F-AC2550AECF32}" name="DEPRECIATRON RATE" dataDxfId="12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B135B60-22A9-491E-826F-5B3B17605E47}" name="Table20" displayName="Table20" ref="B60:L65" totalsRowShown="0" headerRowDxfId="127" dataDxfId="126">
  <autoFilter ref="B60:L65" xr:uid="{5B135B60-22A9-491E-826F-5B3B17605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7A16D8D-AE3A-4385-97E2-AEBE120FAD7A}" name="Column1" dataDxfId="125"/>
    <tableColumn id="2" xr3:uid="{F50BF6B9-711E-45EA-A13B-EA4B5E4F2FDC}" name="2019" dataDxfId="124"/>
    <tableColumn id="3" xr3:uid="{8F16CC07-640C-4652-AAAC-022501FC44A5}" name="2020" dataDxfId="123"/>
    <tableColumn id="4" xr3:uid="{289A38E7-DBAA-4D3F-87DE-B0D0B19FA8E2}" name="2021" dataDxfId="122"/>
    <tableColumn id="5" xr3:uid="{A00976BE-8F30-4EA3-901E-6886821ACC41}" name="2022" dataDxfId="121"/>
    <tableColumn id="6" xr3:uid="{B5F81E8D-6733-4AFA-8C4F-9D21DCB7852C}" name="Column2" dataDxfId="120"/>
    <tableColumn id="7" xr3:uid="{3AA59434-3C4D-4E1A-A7B1-141994C3A072}" name="2022-23E" dataDxfId="119"/>
    <tableColumn id="8" xr3:uid="{F5DD3E0C-0B3F-46B4-A80E-0032056FC59F}" name="2023-24E" dataDxfId="118"/>
    <tableColumn id="9" xr3:uid="{474309A7-D95D-4A35-A4EA-DB17FA0687E8}" name="2024-25E" dataDxfId="117"/>
    <tableColumn id="10" xr3:uid="{3A009EA0-B4B2-4523-9B12-8B2D33A40D9C}" name="2025-26E" dataDxfId="116"/>
    <tableColumn id="11" xr3:uid="{B9E5E823-E65B-44CF-8E73-38E0FD674E06}" name="2026-27E" dataDxfId="115"/>
  </tableColumns>
  <tableStyleInfo name="TableStyleMedium2" showFirstColumn="1" showLastColumn="0" showRowStripes="0" showColumnStripes="1"/>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E9DC7A1-2CC9-49E9-BB9A-F0327C414775}" name="Table22" displayName="Table22" ref="B72:L76" totalsRowCount="1" headerRowDxfId="114" dataDxfId="113" totalsRowDxfId="112">
  <autoFilter ref="B72:L75" xr:uid="{5E9DC7A1-2CC9-49E9-BB9A-F0327C41477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AD91746F-56D6-4BCD-A6E8-FAB7AE512FE4}" name="depriciation" totalsRowLabel="Total" dataDxfId="111" totalsRowDxfId="110"/>
    <tableColumn id="2" xr3:uid="{D69EBA0B-6954-4679-AB37-45CF70ED5FB4}" name="Column1" dataDxfId="109" totalsRowDxfId="108"/>
    <tableColumn id="3" xr3:uid="{472D0F6E-E28C-4B5E-8196-5A7EBD6F65A3}" name="Column2" dataDxfId="107" totalsRowDxfId="106"/>
    <tableColumn id="4" xr3:uid="{A5A2E3FF-D084-45E8-81DA-1A7C259F1887}" name="Column3" dataDxfId="105" totalsRowDxfId="104"/>
    <tableColumn id="5" xr3:uid="{98A44234-E26D-4EB2-B3D0-E85ECEF04C3E}" name="Column4" dataDxfId="103" totalsRowDxfId="102"/>
    <tableColumn id="6" xr3:uid="{620F6666-734C-4A0D-A0FC-74D71B2B75FA}" name="Column5" dataDxfId="101" totalsRowDxfId="100"/>
    <tableColumn id="7" xr3:uid="{3946548F-97F1-4338-8261-54B77D52928B}" name="2022-23E" totalsRowFunction="sum" dataDxfId="99" totalsRowDxfId="98"/>
    <tableColumn id="8" xr3:uid="{4E2DC57E-5B6B-4735-A46E-D2DD097391F3}" name="2023-24E" totalsRowFunction="sum" dataDxfId="97" totalsRowDxfId="96"/>
    <tableColumn id="9" xr3:uid="{D32FDFC1-6A6A-4DD9-86CD-A24250FC68E5}" name="2024-25E" totalsRowFunction="sum" dataDxfId="95" totalsRowDxfId="94"/>
    <tableColumn id="10" xr3:uid="{02C984D2-D500-4515-BFCE-213E2D11EFFC}" name="2025-26E" totalsRowFunction="sum" dataDxfId="93" totalsRowDxfId="92"/>
    <tableColumn id="11" xr3:uid="{E7AE7002-A57E-42F8-8B5A-F07897DE0C83}" name="2026-27E" totalsRowFunction="sum" dataDxfId="91" totalsRowDxfId="90"/>
  </tableColumns>
  <tableStyleInfo name="TableStyleLight12" showFirstColumn="1" showLastColumn="0" showRowStripes="0" showColumnStripes="1"/>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4700BD55-0A88-48A1-B259-3E7B0581D1A6}" name="Table28" displayName="Table28" ref="B78:L82" totalsRowShown="0" headerRowDxfId="89" dataDxfId="88">
  <autoFilter ref="B78:L82" xr:uid="{4700BD55-0A88-48A1-B259-3E7B0581D1A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AB22F885-A8DD-472B-A9CB-9B9714521A30}" name="net block" dataDxfId="87"/>
    <tableColumn id="2" xr3:uid="{21A8C25C-91FD-47CB-8AAD-46C6B7509D94}" name="Column1" dataDxfId="86"/>
    <tableColumn id="3" xr3:uid="{BF1829E9-A082-4C6E-B184-401CF396D22F}" name="Column2" dataDxfId="85"/>
    <tableColumn id="4" xr3:uid="{FFCE15DE-B4A1-46AB-8F6E-70400ECC21C1}" name="Column3" dataDxfId="84"/>
    <tableColumn id="5" xr3:uid="{C6340E2F-279F-41E1-90CD-A2EE600C67C4}" name="Column4" dataDxfId="83"/>
    <tableColumn id="6" xr3:uid="{265D9015-1E67-4339-ABAF-434B5A5D6C6A}" name="Column5" dataDxfId="82"/>
    <tableColumn id="7" xr3:uid="{A84027F0-EDEF-454C-8DD0-44F67863428C}" name="2022-23E" dataDxfId="81"/>
    <tableColumn id="8" xr3:uid="{E3E242FD-3D60-4370-AEB7-481B78362E3D}" name="2022-23E6" dataDxfId="80"/>
    <tableColumn id="9" xr3:uid="{E7BE4FCA-FBF6-437A-8E2F-C0774443762A}" name="2022-23E7" dataDxfId="79"/>
    <tableColumn id="10" xr3:uid="{0949C70C-6AFF-4455-AF00-10C8D607418D}" name="2022-23E8" dataDxfId="78"/>
    <tableColumn id="11" xr3:uid="{F0AA52B2-9AFE-4576-8228-4F01A41D9B02}" name="2022-23E9" dataDxfId="77"/>
  </tableColumns>
  <tableStyleInfo name="TableStyleLight6"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5CBF60-6091-4FA8-9E7E-A675989CDED8}" name="Table1" displayName="Table1" ref="A7:E17" totalsRowShown="0" headerRowDxfId="76" dataDxfId="74" headerRowBorderDxfId="75" tableBorderDxfId="73">
  <autoFilter ref="A7:E17" xr:uid="{945CBF60-6091-4FA8-9E7E-A675989CDED8}">
    <filterColumn colId="0" hiddenButton="1"/>
    <filterColumn colId="1" hiddenButton="1"/>
    <filterColumn colId="2" hiddenButton="1"/>
    <filterColumn colId="3" hiddenButton="1"/>
    <filterColumn colId="4" hiddenButton="1"/>
  </autoFilter>
  <tableColumns count="5">
    <tableColumn id="1" xr3:uid="{B4608335-DE77-4A17-ACE5-AC111221E8A1}" name="Column1" dataDxfId="72"/>
    <tableColumn id="3" xr3:uid="{DA71728B-F80F-4C0A-9B3A-F8DF353BDC89}" name="2018-19" dataDxfId="71"/>
    <tableColumn id="4" xr3:uid="{B60F1EFD-8677-4812-BB17-185B005892B5}" name="2019-20" dataDxfId="70"/>
    <tableColumn id="5" xr3:uid="{F1B8D482-9C3F-482F-A7FD-5EDFDCAFBE68}" name="2020-21" dataDxfId="69"/>
    <tableColumn id="6" xr3:uid="{5C5C36D7-607F-484A-8AF0-C7A00510EF28}" name="2021-22" dataDxfId="68"/>
  </tableColumns>
  <tableStyleInfo name="TableStyleMedium3" showFirstColumn="1"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2C849F7-B0A9-4EE1-94FD-CD39BC124689}" name="Table2" displayName="Table2" ref="G7:M25" totalsRowShown="0" headerRowBorderDxfId="67" tableBorderDxfId="66">
  <autoFilter ref="G7:M25" xr:uid="{B2C849F7-B0A9-4EE1-94FD-CD39BC12468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14B8E3B-588C-4131-92CF-265A058CE1BE}" name="Column1" dataDxfId="65"/>
    <tableColumn id="3" xr3:uid="{1542F003-4299-4A5D-8C9B-006874A0C511}" name="2018-19" dataDxfId="64"/>
    <tableColumn id="4" xr3:uid="{83BBA9B5-8A1E-4C51-A3A4-5EF4DA83BD62}" name="2019-20" dataDxfId="63"/>
    <tableColumn id="5" xr3:uid="{AB933D62-9C81-48E5-AC56-EEC0833E03C5}" name="2020-21" dataDxfId="62"/>
    <tableColumn id="6" xr3:uid="{886D084D-6FA2-4656-B754-698B9A52563E}" name="2021-22" dataDxfId="61"/>
    <tableColumn id="2" xr3:uid="{835AD3FB-9C75-4DA8-959E-69373082C9C8}" name="Column2" dataDxfId="60"/>
    <tableColumn id="7" xr3:uid="{E97996EA-3B96-40A3-9871-34D550DD0BD9}" name="Column3" dataDxfId="59"/>
  </tableColumns>
  <tableStyleInfo name="TableStyleLight13"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873D0ED-2961-4BDA-AB50-C4E57140B1CC}" name="Table13" displayName="Table13" ref="A44:G46" totalsRowShown="0" headerRowDxfId="58" dataDxfId="57" headerRowCellStyle="Percent">
  <autoFilter ref="A44:G46" xr:uid="{1873D0ED-2961-4BDA-AB50-C4E57140B1C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F8449E0-4985-4E55-9467-267924325C9B}" name="PARTICULARS" dataDxfId="56"/>
    <tableColumn id="2" xr3:uid="{E41EA37E-73F5-47B7-9AA5-501EEACF116A}" name="2021-22" dataDxfId="55"/>
    <tableColumn id="3" xr3:uid="{43577B41-D550-45C5-86C5-D6A6134A11D2}" name="2022-23E" dataDxfId="54"/>
    <tableColumn id="4" xr3:uid="{9CA7144F-91FF-448D-9991-9F7BF7322A1E}" name="2023-24E" dataDxfId="53"/>
    <tableColumn id="5" xr3:uid="{5A1F91D8-BF85-4708-A430-78918E33D050}" name="2024-25E" dataDxfId="52"/>
    <tableColumn id="6" xr3:uid="{69626441-23B4-44C3-934F-DF2AE5370C2C}" name="2025-26E" dataDxfId="51"/>
    <tableColumn id="7" xr3:uid="{AA847F56-3670-4270-B2FC-90004554AEF4}" name="2026-27E" dataDxfId="50"/>
  </tableColumns>
  <tableStyleInfo name="TableStyleMedium2" showFirstColumn="1" showLastColumn="0" showRowStripes="0" showColumnStripes="1"/>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F9E2B67-4AC5-4514-BF15-665ECF417551}" name="Table14" displayName="Table14" ref="A60:G62" totalsRowShown="0" tableBorderDxfId="49">
  <autoFilter ref="A60:G62" xr:uid="{EF9E2B67-4AC5-4514-BF15-665ECF41755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4413B46-6B9A-4446-89E2-EA37B60309AA}" name="PARTICULARS"/>
    <tableColumn id="2" xr3:uid="{FC601127-182E-4944-84E2-76A0100114A2}" name="2021-22"/>
    <tableColumn id="3" xr3:uid="{32D0D53C-A03C-4649-91B8-7D5FDA894439}" name="2022-23E">
      <calculatedColumnFormula>$C$58</calculatedColumnFormula>
    </tableColumn>
    <tableColumn id="4" xr3:uid="{A95FF4E6-C612-4894-A219-557F79012E3D}" name="2023-24E">
      <calculatedColumnFormula>$C$58</calculatedColumnFormula>
    </tableColumn>
    <tableColumn id="5" xr3:uid="{1B4FAE74-D5C0-4C90-81F3-EE5150F25134}" name="2024-25E">
      <calculatedColumnFormula>$C$58</calculatedColumnFormula>
    </tableColumn>
    <tableColumn id="6" xr3:uid="{CF9FD962-0A14-4903-9CCF-484A26C51C07}" name="2025-26E">
      <calculatedColumnFormula>$C$58</calculatedColumnFormula>
    </tableColumn>
    <tableColumn id="7" xr3:uid="{5922280A-C90F-42A0-ABFE-FEF22F3F2DA4}" name="2026-27E">
      <calculatedColumnFormula>$C$58</calculatedColumnFormula>
    </tableColumn>
  </tableColumns>
  <tableStyleInfo name="TableStyleMedium2" showFirstColumn="1" showLastColumn="0" showRowStripes="0" showColumnStripes="1"/>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7778147-BC9C-4B32-98A3-B8FA0B157902}" name="Table1416" displayName="Table1416" ref="A71:G73" totalsRowShown="0" tableBorderDxfId="48">
  <autoFilter ref="A71:G73" xr:uid="{17778147-BC9C-4B32-98A3-B8FA0B157902}"/>
  <tableColumns count="7">
    <tableColumn id="1" xr3:uid="{F5CA92C8-7139-4A76-A37F-5C8797A15282}" name="PARTICULARS"/>
    <tableColumn id="2" xr3:uid="{2082D6F7-5FF5-403D-A5A5-1588E2F88A32}" name="2021-22" dataDxfId="47">
      <calculatedColumnFormula>E66</calculatedColumnFormula>
    </tableColumn>
    <tableColumn id="3" xr3:uid="{2648E407-43A1-4DF5-B208-238A0C07DF2C}" name="2022-23E">
      <calculatedColumnFormula>$C$58</calculatedColumnFormula>
    </tableColumn>
    <tableColumn id="4" xr3:uid="{9404038C-6477-4674-BE04-F374CF21EB8C}" name="2023-24E">
      <calculatedColumnFormula>$C$58</calculatedColumnFormula>
    </tableColumn>
    <tableColumn id="5" xr3:uid="{803F7134-AB83-44EA-A91A-C39322FCDA05}" name="2024-25E">
      <calculatedColumnFormula>$C$58</calculatedColumnFormula>
    </tableColumn>
    <tableColumn id="6" xr3:uid="{AA625406-5EE7-4212-91EC-267A294AE4BA}" name="2025-26E">
      <calculatedColumnFormula>$C$58</calculatedColumnFormula>
    </tableColumn>
    <tableColumn id="7" xr3:uid="{BC5DB6CF-A218-4ECD-BB76-FE406F1102B9}" name="2026-27E">
      <calculatedColumnFormula>$C$58</calculatedColumnFormula>
    </tableColumn>
  </tableColumns>
  <tableStyleInfo name="TableStyleMedium2" showFirstColumn="1" showLastColumn="0" showRowStripes="0" showColumnStripes="1"/>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7A1E8B5-4677-4C19-8D0C-6B87B71D0350}" name="Table141618" displayName="Table141618" ref="H75:N77" totalsRowShown="0" tableBorderDxfId="46">
  <autoFilter ref="H75:N77" xr:uid="{87A1E8B5-4677-4C19-8D0C-6B87B71D035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08A88F9-D09B-461C-85CC-212A91D5E185}" name="PARTICULARS"/>
    <tableColumn id="2" xr3:uid="{99494386-B8B8-4381-B3BC-65726EF0F42A}" name="2021-22" dataDxfId="45">
      <calculatedColumnFormula>L67</calculatedColumnFormula>
    </tableColumn>
    <tableColumn id="3" xr3:uid="{9DF6B613-30DE-4DA9-AF67-ED60358A9A1D}" name="2022-23E">
      <calculatedColumnFormula>$C$58</calculatedColumnFormula>
    </tableColumn>
    <tableColumn id="4" xr3:uid="{9E373DB6-874B-48A7-BD37-FF9C56F9D309}" name="2023-24E">
      <calculatedColumnFormula>$C$58</calculatedColumnFormula>
    </tableColumn>
    <tableColumn id="5" xr3:uid="{CD3825E0-8B11-4480-A0E3-0A037064EF38}" name="2024-25E">
      <calculatedColumnFormula>$C$58</calculatedColumnFormula>
    </tableColumn>
    <tableColumn id="6" xr3:uid="{B8463E36-DC40-4D89-B8D4-151A6B39A473}" name="2025-26E">
      <calculatedColumnFormula>$C$58</calculatedColumnFormula>
    </tableColumn>
    <tableColumn id="7" xr3:uid="{893DD8AF-E921-4FD7-8BEC-54FFE39680DE}" name="2026-27E" dataDxfId="44">
      <calculatedColumnFormula>M75*(1+N75)</calculatedColumnFormula>
    </tableColumn>
  </tableColumns>
  <tableStyleInfo name="TableStyleMedium2" showFirstColumn="1" showLastColumn="0" showRowStripes="0" showColumnStripes="1"/>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B8FE87A-315C-4392-BEEE-B10788E4DF12}" name="Table18" displayName="Table18" ref="A79:G86" totalsRowCount="1" headerRowDxfId="43">
  <autoFilter ref="A79:G85" xr:uid="{7B8FE87A-315C-4392-BEEE-B10788E4DF1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1AB8482-4C2A-42A7-A461-F1769DE1F083}" name="Expected revenue" totalsRowLabel="Total"/>
    <tableColumn id="2" xr3:uid="{53C83F9B-A3DD-49FF-B540-E727436B2817}" name="Column1"/>
    <tableColumn id="3" xr3:uid="{9DAB40F6-16C5-4A1B-9652-E42409AE0EB1}" name="2022-23E" totalsRowFunction="sum"/>
    <tableColumn id="4" xr3:uid="{A7D8ADCB-BEF2-435B-B436-F47E17647E79}" name="2023-24E" totalsRowFunction="sum"/>
    <tableColumn id="5" xr3:uid="{D68EF44E-4C80-4532-B29E-F4FB4237BDF3}" name="2024-25E" totalsRowFunction="sum"/>
    <tableColumn id="6" xr3:uid="{717C017F-54FB-4877-954B-6004E3B6BD2F}" name="2025-26E" totalsRowFunction="sum"/>
    <tableColumn id="7" xr3:uid="{407CC698-69E8-4613-9160-19F30F1CEA1A}" name="2026-27E" totalsRowFunction="sum" dataDxfId="42" totalsRowDxfId="41"/>
  </tableColumns>
  <tableStyleInfo name="TableStyleMedium6" showFirstColumn="0" showLastColumn="0" showRowStripes="0" showColumnStripes="1"/>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4DDA6EB-FB93-4341-8DE9-E6896A6F9394}" name="Table141620" displayName="Table141620" ref="A95:G97" totalsRowShown="0" tableBorderDxfId="40">
  <autoFilter ref="A95:G97" xr:uid="{F4DDA6EB-FB93-4341-8DE9-E6896A6F939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C213DF7-17CA-44E6-8196-45111387877E}" name="PARTICULARS"/>
    <tableColumn id="2" xr3:uid="{DFC7016F-38E6-4DC4-9B6D-E4F84DE615C9}" name="2021-22" dataDxfId="39">
      <calculatedColumnFormula>E90</calculatedColumnFormula>
    </tableColumn>
    <tableColumn id="3" xr3:uid="{9D35D589-F84E-480F-9744-C184E08FEE1E}" name="2022-23E">
      <calculatedColumnFormula>$C$58</calculatedColumnFormula>
    </tableColumn>
    <tableColumn id="4" xr3:uid="{DF18EE5F-3AC0-40D9-83C4-97D6876BBCFA}" name="2023-24E">
      <calculatedColumnFormula>$C$58</calculatedColumnFormula>
    </tableColumn>
    <tableColumn id="5" xr3:uid="{7E727831-17FB-41B2-BCD6-1EE9BE31BAB0}" name="2024-25E">
      <calculatedColumnFormula>$C$58</calculatedColumnFormula>
    </tableColumn>
    <tableColumn id="6" xr3:uid="{2890B70F-E813-45BA-B540-1D59698EE2CD}" name="2025-26E">
      <calculatedColumnFormula>$C$58</calculatedColumnFormula>
    </tableColumn>
    <tableColumn id="7" xr3:uid="{47D27AB2-8B09-45D5-B948-9685B40A4E4D}" name="2026-27E">
      <calculatedColumnFormula>$C$58</calculatedColumnFormula>
    </tableColumn>
  </tableColumns>
  <tableStyleInfo name="TableStyleMedium2" showFirstColumn="1" showLastColumn="0" showRowStripes="0" showColumnStripes="1"/>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53BD647-1802-4761-84E1-4951A518677A}" name="Table23" displayName="Table23" ref="A1:L21" totalsRowShown="0">
  <autoFilter ref="A1:L21" xr:uid="{753BD647-1802-4761-84E1-4951A518677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6AFA8CDE-BB2F-4186-B42A-46A01F87D76D}" name="PROFIT/LOSS"/>
    <tableColumn id="2" xr3:uid="{3F8A0858-DC24-4D82-A0DB-E4982A57F7AD}" name="Column1"/>
    <tableColumn id="3" xr3:uid="{17381B3F-0F5B-4F18-9D9D-BB22EC2376AA}" name="2018-19"/>
    <tableColumn id="4" xr3:uid="{AC01A769-1642-48EF-A1B4-44D7B100B218}" name="2019-20"/>
    <tableColumn id="5" xr3:uid="{CE4BE197-6F1B-497D-A8AD-5A6E69E5BBDD}" name="2020-21"/>
    <tableColumn id="6" xr3:uid="{B62B3D3C-EFFD-4007-9FED-AA9A3C5A9251}" name="2021-22"/>
    <tableColumn id="7" xr3:uid="{CE10D68C-9D37-4E61-AC9E-7898060DB8F5}" name="Column2"/>
    <tableColumn id="8" xr3:uid="{8FD33199-7B03-4093-97D0-3DA346622FB9}" name="2022-23E"/>
    <tableColumn id="9" xr3:uid="{4A866D2D-E694-4EB4-88F7-E17CA59EFEE6}" name="2023-24E"/>
    <tableColumn id="10" xr3:uid="{3F161438-D852-43E9-BC6B-95893DB05EFB}" name="2024-25E"/>
    <tableColumn id="11" xr3:uid="{55BC968B-9CEC-4DBB-BF4A-7B9EABD91368}" name="2025-26E"/>
    <tableColumn id="12" xr3:uid="{CC25F165-1568-402F-B03A-99D0E67468E0}" name="2026-27E"/>
  </tableColumns>
  <tableStyleInfo name="TableStyleMedium2" showFirstColumn="1" showLastColumn="0" showRowStripes="0" showColumnStripes="1"/>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60D322F-663F-444F-8E11-EFB55B67743C}" name="Table29" displayName="Table29" ref="A23:G29" totalsRowShown="0">
  <autoFilter ref="A23:G29" xr:uid="{960D322F-663F-444F-8E11-EFB55B67743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2E373AC-9C53-4C26-9CC4-C560470B136F}" name="Column1"/>
    <tableColumn id="2" xr3:uid="{3979AAD3-D634-4935-A6D3-540D33CCB3F9}" name="Column2"/>
    <tableColumn id="3" xr3:uid="{CB82F7A2-423F-4F2E-9101-1A81A9FC7830}" name="Column3"/>
    <tableColumn id="4" xr3:uid="{30E41B18-832D-48AE-8787-D869BDDFAB46}" name="Column4"/>
    <tableColumn id="5" xr3:uid="{7517F67C-6151-4B36-9ACE-1D2B47774B2D}" name="Column5"/>
    <tableColumn id="6" xr3:uid="{4D98ECFB-88D5-4DD6-92B7-6A6DBBCC6FF9}" name="Column6"/>
    <tableColumn id="7" xr3:uid="{CE3E9D2F-50AF-4903-B81E-C42AB5FEB326}" name="Column7"/>
  </tableColumns>
  <tableStyleInfo name="TableStyleLight9" showFirstColumn="1"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368B034-2FFF-42AD-971B-31E66256D025}" name="Table6" displayName="Table6" ref="A1:S45" totalsRowShown="0" headerRowDxfId="38" dataDxfId="36" headerRowBorderDxfId="37" tableBorderDxfId="35">
  <autoFilter ref="A1:S45" xr:uid="{F368B034-2FFF-42AD-971B-31E66256D02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1B3E26B9-805F-46F1-8952-98A98794F044}" name="2020-21" dataDxfId="34"/>
    <tableColumn id="2" xr3:uid="{3F4739BD-213E-4AFD-B742-E38116C41697}" name="Column1" dataDxfId="33"/>
    <tableColumn id="3" xr3:uid="{2B1B5317-7C90-42D8-9F0F-EF6AB11F57F7}" name="O2C" dataDxfId="32"/>
    <tableColumn id="4" xr3:uid="{50925EDC-43A8-43D2-9373-1F7E14985AD7}" name="Gas" dataDxfId="31"/>
    <tableColumn id="5" xr3:uid="{26798C1D-24AD-4E1A-8DFE-4CABA616DFAA}" name="Retail" dataDxfId="30"/>
    <tableColumn id="6" xr3:uid="{849C414D-A2CA-442B-BD59-017ECB143796}" name="Services" dataDxfId="29"/>
    <tableColumn id="7" xr3:uid="{EE04BD02-F9CD-4587-B181-0554424AC9A5}" name="Services2" dataDxfId="28"/>
    <tableColumn id="8" xr3:uid="{92A4E4E8-028E-4A81-BF36-56EE63F2AACD}" name="Others" dataDxfId="27"/>
    <tableColumn id="9" xr3:uid="{89566200-4B78-4E24-8354-122C88C7E398}" name="Unallocable" dataDxfId="26"/>
    <tableColumn id="10" xr3:uid="{D2D8C557-1607-41CF-8F63-838F2793B5D6}" name="Total" dataDxfId="25"/>
    <tableColumn id="19" xr3:uid="{FAD29B9A-4E6C-4262-B3CA-E0F68CBDB5D2}" name="Column2" dataDxfId="24"/>
    <tableColumn id="11" xr3:uid="{9A464B45-8098-4E40-92FA-DCA8A9747ED9}" name="O2C3" dataDxfId="23"/>
    <tableColumn id="12" xr3:uid="{75D6B9D4-8132-4F83-A04F-9B07F4956F4F}" name="Gas4" dataDxfId="22"/>
    <tableColumn id="13" xr3:uid="{4D1E1838-7AD6-42DD-9371-8689D369D74C}" name="Retail5" dataDxfId="21"/>
    <tableColumn id="14" xr3:uid="{A462E705-2B5C-4567-A82B-52541C0B5506}" name="Services6" dataDxfId="20"/>
    <tableColumn id="15" xr3:uid="{A757C209-64E4-4DD7-9571-34099428D817}" name="Services7" dataDxfId="19"/>
    <tableColumn id="16" xr3:uid="{75A40A6A-981D-4232-BCFD-4A9CB671B875}" name="Others8" dataDxfId="18"/>
    <tableColumn id="17" xr3:uid="{BA3A64EC-FF9F-497E-B0A0-1295AE8BE9D8}" name="Unallocable9" dataDxfId="17"/>
    <tableColumn id="18" xr3:uid="{ED0A393C-7C17-4332-BF55-F22F95B401F7}" name="Total10" dataDxfId="16"/>
  </tableColumns>
  <tableStyleInfo name="TableStyleLight10" showFirstColumn="1" showLastColumn="0" showRowStripes="1" showColumnStripes="1"/>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EADCC98-85AF-455F-8899-CE12A4BC7F50}" name="Table16" displayName="Table16" ref="L48:U53" totalsRowShown="0" headerRowDxfId="15">
  <autoFilter ref="L48:U53" xr:uid="{CEADCC98-85AF-455F-8899-CE12A4BC7F5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D7A4226-6C74-4498-9E22-DFDC490E2725}" name="Analysis" dataDxfId="14"/>
    <tableColumn id="2" xr3:uid="{C0FE2D35-2C24-416A-AA9C-0AA071431251}" name="Column1" dataDxfId="13"/>
    <tableColumn id="3" xr3:uid="{7DCE2F4C-2576-4FAB-BA46-F21F0F59D105}" name="O2C"/>
    <tableColumn id="4" xr3:uid="{BDF2EC2D-9126-4513-80E1-DD2EE557CCEC}" name="oil and gas"/>
    <tableColumn id="5" xr3:uid="{73F70543-7026-4D4B-AD60-FFEDF1F74E94}" name="retail"/>
    <tableColumn id="6" xr3:uid="{553AD28D-AF84-496C-985C-55DEEDD72DFB}" name="digital"/>
    <tableColumn id="7" xr3:uid="{A220FA74-66B0-4DF0-A575-5B80EB9693DB}" name="financial " dataDxfId="12"/>
    <tableColumn id="8" xr3:uid="{9D0F7A01-0103-438A-A5C7-451115FF9193}" name="other"/>
    <tableColumn id="9" xr3:uid="{9D5A6EBE-749D-45FB-950A-526A15D5E276}" name="unallocated" dataDxfId="11"/>
    <tableColumn id="10" xr3:uid="{85B156FE-872A-4365-8CA0-8BB516E0303A}" name="total"/>
  </tableColumns>
  <tableStyleInfo name="TableStyleMedium4" showFirstColumn="1" showLastColumn="0" showRowStripes="0" showColumnStripes="1"/>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F3D31E7-DD54-415E-BD89-F725FD1AE24A}" name="Table21" displayName="Table21" ref="A48:J53" totalsRowShown="0" headerRowDxfId="10" dataDxfId="9">
  <autoFilter ref="A48:J53" xr:uid="{9F3D31E7-DD54-415E-BD89-F725FD1AE24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385ABA6-45AE-4AC9-AA50-AC68B4555E68}" name="Analysis" dataDxfId="8"/>
    <tableColumn id="2" xr3:uid="{A11A1A2E-C015-4ACE-8E07-87DFB73F8264}" name="Column1" dataDxfId="7"/>
    <tableColumn id="3" xr3:uid="{7665C8C5-7B41-4173-B565-989076CA75FB}" name="O2C" dataDxfId="6"/>
    <tableColumn id="4" xr3:uid="{BBC2A335-62EA-4B40-BC10-3CD896539817}" name="oil and gas" dataDxfId="5"/>
    <tableColumn id="5" xr3:uid="{479E4B73-DC44-45BE-800D-A5DE8CB40B20}" name="retail" dataDxfId="4"/>
    <tableColumn id="6" xr3:uid="{001A9D6B-BDD4-4B8E-9772-E9B8BB6B6901}" name="digital" dataDxfId="3"/>
    <tableColumn id="7" xr3:uid="{E83CCC4F-1A2D-459A-8911-45663ED53257}" name="financial " dataDxfId="2"/>
    <tableColumn id="8" xr3:uid="{F3283C1F-4017-4EF5-B8D8-1145A30A4311}" name="other" dataDxfId="1"/>
    <tableColumn id="9" xr3:uid="{16C431D0-46E8-4CFA-8809-2778335BAD34}" name="unallocated" dataDxfId="0"/>
    <tableColumn id="10" xr3:uid="{C1A9B668-60F8-457B-B222-FD3937F4F96C}" name="total"/>
  </tableColumns>
  <tableStyleInfo name="TableStyleMedium6" showFirstColumn="1" showLastColumn="0" showRowStripes="0"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7A255D9-CBD3-4DE9-992B-4200782D41CB}">
  <we:reference id="wa104379640" version="3.4.7.2" store="en-US" storeType="OMEX"/>
  <we:alternateReferences>
    <we:reference id="WA104379640" version="3.4.7.2" store="WA104379640" storeType="OMEX"/>
  </we:alternateReferences>
  <we:properties>
    <we:property name="UdfFunctionsCorrected" value="&quot;true&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KNOEMA.GET</we:customFunctionIds>
        <we:customFunctionIds>KNOEMA.GETDATES</we:customFunctionIds>
        <we:customFunctionIds>KNOEMA.GETA</we:customFunctionIds>
        <we:customFunctionIds>KNOEMA.VERSION</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3.xml"/><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hyperlink" Target="https://www.moneycontrol.com/india/stockpricequote/oil-drilling-exploration/petronetlng/PLN" TargetMode="External"/><Relationship Id="rId7" Type="http://schemas.openxmlformats.org/officeDocument/2006/relationships/drawing" Target="../drawings/drawing4.xml"/><Relationship Id="rId12" Type="http://schemas.openxmlformats.org/officeDocument/2006/relationships/table" Target="../tables/table11.xml"/><Relationship Id="rId2" Type="http://schemas.openxmlformats.org/officeDocument/2006/relationships/hyperlink" Target="https://www.moneycontrol.com/india/stockpricequote/oil-drilling-exploration/oilnaturalgascorporation/ONG" TargetMode="External"/><Relationship Id="rId1" Type="http://schemas.openxmlformats.org/officeDocument/2006/relationships/hyperlink" Target="https://www.moneycontrol.com/india/stockpricequote/refineries/relianceindustries/RI" TargetMode="External"/><Relationship Id="rId6" Type="http://schemas.openxmlformats.org/officeDocument/2006/relationships/printerSettings" Target="../printerSettings/printerSettings1.bin"/><Relationship Id="rId11" Type="http://schemas.openxmlformats.org/officeDocument/2006/relationships/table" Target="../tables/table10.xml"/><Relationship Id="rId5" Type="http://schemas.openxmlformats.org/officeDocument/2006/relationships/hyperlink" Target="https://www.moneycontrol.com/india/stockpricequote/oil-drilling-exploration/hindustanoilexplorationcompany/HOE01" TargetMode="External"/><Relationship Id="rId10" Type="http://schemas.openxmlformats.org/officeDocument/2006/relationships/table" Target="../tables/table9.xml"/><Relationship Id="rId4" Type="http://schemas.openxmlformats.org/officeDocument/2006/relationships/hyperlink" Target="https://www.moneycontrol.com/india/stockpricequote/oil-drilling-exploration/oilindia/OI13" TargetMode="External"/><Relationship Id="rId9" Type="http://schemas.openxmlformats.org/officeDocument/2006/relationships/table" Target="../tables/table8.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printerSettings" Target="../printerSettings/printerSettings3.bin"/><Relationship Id="rId4" Type="http://schemas.openxmlformats.org/officeDocument/2006/relationships/table" Target="../tables/table1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table" Target="../tables/table1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5.xml"/><Relationship Id="rId7" Type="http://schemas.openxmlformats.org/officeDocument/2006/relationships/table" Target="../tables/table29.xml"/><Relationship Id="rId2" Type="http://schemas.openxmlformats.org/officeDocument/2006/relationships/table" Target="../tables/table24.xml"/><Relationship Id="rId1" Type="http://schemas.openxmlformats.org/officeDocument/2006/relationships/table" Target="../tables/table23.xml"/><Relationship Id="rId6" Type="http://schemas.openxmlformats.org/officeDocument/2006/relationships/table" Target="../tables/table28.xml"/><Relationship Id="rId5" Type="http://schemas.openxmlformats.org/officeDocument/2006/relationships/table" Target="../tables/table27.xml"/><Relationship Id="rId4" Type="http://schemas.openxmlformats.org/officeDocument/2006/relationships/table" Target="../tables/table26.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35.xml"/><Relationship Id="rId3" Type="http://schemas.openxmlformats.org/officeDocument/2006/relationships/table" Target="../tables/table30.xml"/><Relationship Id="rId7" Type="http://schemas.openxmlformats.org/officeDocument/2006/relationships/table" Target="../tables/table34.xml"/><Relationship Id="rId2" Type="http://schemas.openxmlformats.org/officeDocument/2006/relationships/drawing" Target="../drawings/drawing6.xml"/><Relationship Id="rId1" Type="http://schemas.openxmlformats.org/officeDocument/2006/relationships/printerSettings" Target="../printerSettings/printerSettings4.bin"/><Relationship Id="rId6" Type="http://schemas.openxmlformats.org/officeDocument/2006/relationships/table" Target="../tables/table33.xml"/><Relationship Id="rId5" Type="http://schemas.openxmlformats.org/officeDocument/2006/relationships/table" Target="../tables/table32.xml"/><Relationship Id="rId10" Type="http://schemas.openxmlformats.org/officeDocument/2006/relationships/table" Target="../tables/table37.xml"/><Relationship Id="rId4" Type="http://schemas.openxmlformats.org/officeDocument/2006/relationships/table" Target="../tables/table31.xml"/><Relationship Id="rId9" Type="http://schemas.openxmlformats.org/officeDocument/2006/relationships/table" Target="../tables/table36.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printerSettings" Target="../printerSettings/printerSettings6.bin"/><Relationship Id="rId4" Type="http://schemas.openxmlformats.org/officeDocument/2006/relationships/table" Target="../tables/table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FADA0-1D73-4A9B-844D-E48D30433AF1}">
  <dimension ref="B1:D26"/>
  <sheetViews>
    <sheetView showGridLines="0" workbookViewId="0">
      <selection activeCell="D17" sqref="D17"/>
    </sheetView>
  </sheetViews>
  <sheetFormatPr defaultRowHeight="15.6" x14ac:dyDescent="0.3"/>
  <cols>
    <col min="1" max="1" width="8.88671875" style="277"/>
    <col min="2" max="2" width="3.21875" style="277" bestFit="1" customWidth="1"/>
    <col min="3" max="3" width="39.33203125" style="277" customWidth="1"/>
    <col min="4" max="4" width="21.109375" style="277" bestFit="1" customWidth="1"/>
    <col min="5" max="16384" width="8.88671875" style="277"/>
  </cols>
  <sheetData>
    <row r="1" spans="2:4" x14ac:dyDescent="0.3">
      <c r="C1"/>
    </row>
    <row r="11" spans="2:4" ht="18" x14ac:dyDescent="0.35">
      <c r="B11" s="577" t="s">
        <v>785</v>
      </c>
    </row>
    <row r="13" spans="2:4" x14ac:dyDescent="0.3">
      <c r="B13" s="579" t="s">
        <v>307</v>
      </c>
      <c r="C13" s="580" t="s">
        <v>786</v>
      </c>
      <c r="D13" s="580" t="s">
        <v>787</v>
      </c>
    </row>
    <row r="14" spans="2:4" x14ac:dyDescent="0.3">
      <c r="B14" s="578">
        <v>1</v>
      </c>
      <c r="C14" s="277" t="s">
        <v>797</v>
      </c>
      <c r="D14" s="190" t="s">
        <v>698</v>
      </c>
    </row>
    <row r="15" spans="2:4" x14ac:dyDescent="0.3">
      <c r="B15" s="578">
        <v>2</v>
      </c>
      <c r="C15" s="277" t="s">
        <v>798</v>
      </c>
      <c r="D15" s="190" t="s">
        <v>788</v>
      </c>
    </row>
    <row r="16" spans="2:4" x14ac:dyDescent="0.3">
      <c r="B16" s="578">
        <v>3</v>
      </c>
      <c r="C16" s="277" t="s">
        <v>799</v>
      </c>
      <c r="D16" s="190" t="s">
        <v>789</v>
      </c>
    </row>
    <row r="17" spans="2:4" x14ac:dyDescent="0.3">
      <c r="B17" s="578">
        <v>4</v>
      </c>
      <c r="C17" s="277" t="s">
        <v>800</v>
      </c>
      <c r="D17" s="190" t="s">
        <v>790</v>
      </c>
    </row>
    <row r="18" spans="2:4" x14ac:dyDescent="0.3">
      <c r="B18" s="578">
        <v>5</v>
      </c>
      <c r="C18" s="277" t="s">
        <v>801</v>
      </c>
      <c r="D18" s="190" t="s">
        <v>791</v>
      </c>
    </row>
    <row r="19" spans="2:4" x14ac:dyDescent="0.3">
      <c r="B19" s="578">
        <v>6</v>
      </c>
      <c r="C19" s="277" t="s">
        <v>802</v>
      </c>
      <c r="D19" s="190" t="s">
        <v>792</v>
      </c>
    </row>
    <row r="20" spans="2:4" x14ac:dyDescent="0.3">
      <c r="B20" s="578">
        <v>7</v>
      </c>
      <c r="C20" s="277" t="s">
        <v>803</v>
      </c>
      <c r="D20" s="190" t="s">
        <v>793</v>
      </c>
    </row>
    <row r="21" spans="2:4" x14ac:dyDescent="0.3">
      <c r="B21" s="578">
        <v>8</v>
      </c>
      <c r="C21" s="277" t="s">
        <v>804</v>
      </c>
      <c r="D21" s="190" t="s">
        <v>505</v>
      </c>
    </row>
    <row r="22" spans="2:4" x14ac:dyDescent="0.3">
      <c r="B22" s="578">
        <v>9</v>
      </c>
      <c r="C22" s="277" t="s">
        <v>805</v>
      </c>
      <c r="D22" s="190" t="s">
        <v>794</v>
      </c>
    </row>
    <row r="23" spans="2:4" x14ac:dyDescent="0.3">
      <c r="B23" s="578">
        <v>10</v>
      </c>
      <c r="C23" s="277" t="s">
        <v>806</v>
      </c>
      <c r="D23" s="190" t="s">
        <v>406</v>
      </c>
    </row>
    <row r="24" spans="2:4" x14ac:dyDescent="0.3">
      <c r="B24" s="578">
        <v>11</v>
      </c>
      <c r="C24" s="277" t="s">
        <v>807</v>
      </c>
      <c r="D24" s="190" t="s">
        <v>795</v>
      </c>
    </row>
    <row r="25" spans="2:4" x14ac:dyDescent="0.3">
      <c r="B25" s="578">
        <v>12</v>
      </c>
      <c r="C25" s="277" t="s">
        <v>808</v>
      </c>
      <c r="D25" s="190" t="s">
        <v>497</v>
      </c>
    </row>
    <row r="26" spans="2:4" x14ac:dyDescent="0.3">
      <c r="B26" s="578">
        <v>13</v>
      </c>
      <c r="C26" s="277" t="s">
        <v>809</v>
      </c>
      <c r="D26" s="190" t="s">
        <v>796</v>
      </c>
    </row>
  </sheetData>
  <hyperlinks>
    <hyperlink ref="D14" location="'residual income approch'!A1" display="residual income approch" xr:uid="{E487A43B-1E6A-4C88-ABE2-8BEDE1484412}"/>
    <hyperlink ref="D15" location="'valuation freecash flow'!A1" display="valuation freecash flow" xr:uid="{40426DF3-4496-4F4E-A7A3-D075840B6276}"/>
    <hyperlink ref="D16" location="'marketbased valuations'!A1" display="marketbased valuations" xr:uid="{A311CF0D-0859-4DFA-A2B0-6F77EF74C4CE}"/>
    <hyperlink ref="D17" location="'balancesheet'!A1" display="balancesheet" xr:uid="{B21531B5-FECB-437B-89F8-524013FFD640}"/>
    <hyperlink ref="D18" location="'profitloss'!A1" display="profitloss" xr:uid="{4EF4C9F5-2313-46DD-B1C5-5F22F36B97F0}"/>
    <hyperlink ref="D19" location="'cashflow'!A1" display="cashflow" xr:uid="{066E1C5D-A8F6-40B8-95BE-4315D352C792}"/>
    <hyperlink ref="D20" location="'other equity'!A1" display="other equity" xr:uid="{9FC626AB-0E3B-4FCA-BF08-835FA4DF4017}"/>
    <hyperlink ref="D21" location="'debt'!A1" display="debt" xr:uid="{5E083034-E98D-4907-8895-992BACCBAFBA}"/>
    <hyperlink ref="D22" location="'WORKING CAPITAL'!A1" display="WORKING CAPITAL" xr:uid="{39AA990E-A160-4104-ABD6-AEE7F5E80452}"/>
    <hyperlink ref="D23" location="'PPE'!A1" display="PPE" xr:uid="{0190DB36-D841-4E68-9AC7-99095AC19268}"/>
    <hyperlink ref="D24" location="'revenue'!A1" display="revenue" xr:uid="{13F6C4F6-FC90-4C63-81EF-339B5AE2EAF2}"/>
    <hyperlink ref="D25" location="'expenses'!A1" display="expenses" xr:uid="{2303F109-943A-4592-8E03-2E8EA0D0641C}"/>
    <hyperlink ref="D26" location="'segmentrevenue'!A1" display="segmentrevenue" xr:uid="{B77932D4-52B9-4AC9-AC89-99550029F9A6}"/>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E8F76-CF98-45AE-ACFC-A2CFD0D07137}">
  <sheetPr>
    <tabColor rgb="FFFF0000"/>
  </sheetPr>
  <dimension ref="A7:L35"/>
  <sheetViews>
    <sheetView topLeftCell="A27" workbookViewId="0">
      <selection activeCell="B20" sqref="B20"/>
    </sheetView>
  </sheetViews>
  <sheetFormatPr defaultRowHeight="14.4" x14ac:dyDescent="0.3"/>
  <cols>
    <col min="1" max="1" width="21" bestFit="1" customWidth="1"/>
    <col min="2" max="2" width="10.33203125" bestFit="1" customWidth="1"/>
    <col min="3" max="3" width="16.6640625" bestFit="1" customWidth="1"/>
    <col min="4" max="7" width="12" bestFit="1" customWidth="1"/>
    <col min="12" max="12" width="10.33203125" bestFit="1" customWidth="1"/>
  </cols>
  <sheetData>
    <row r="7" spans="1:12" ht="21" x14ac:dyDescent="0.4">
      <c r="E7" s="585" t="str">
        <f>A35</f>
        <v>reliance prices</v>
      </c>
      <c r="F7" s="585"/>
      <c r="G7" s="585">
        <f t="shared" ref="G7" si="0">C35</f>
        <v>2360.5663444979868</v>
      </c>
    </row>
    <row r="12" spans="1:12" x14ac:dyDescent="0.3">
      <c r="A12" t="s">
        <v>368</v>
      </c>
      <c r="B12" t="s">
        <v>117</v>
      </c>
      <c r="C12" t="s">
        <v>700</v>
      </c>
      <c r="D12" t="s">
        <v>559</v>
      </c>
      <c r="E12" t="s">
        <v>560</v>
      </c>
      <c r="F12" t="s">
        <v>561</v>
      </c>
      <c r="G12" t="s">
        <v>562</v>
      </c>
    </row>
    <row r="13" spans="1:12" x14ac:dyDescent="0.3">
      <c r="A13" t="str">
        <f>balancesheet!A32</f>
        <v>Equity Share Capital</v>
      </c>
      <c r="B13" s="243">
        <f>balancesheet!F32</f>
        <v>6765</v>
      </c>
      <c r="C13" s="243">
        <f>balancesheet!G32</f>
        <v>6765</v>
      </c>
      <c r="D13" s="243">
        <f>balancesheet!H32</f>
        <v>6765</v>
      </c>
      <c r="E13" s="243">
        <f>balancesheet!I32</f>
        <v>6765</v>
      </c>
      <c r="F13" s="243">
        <f>balancesheet!J32</f>
        <v>6765</v>
      </c>
      <c r="G13" s="243">
        <f>balancesheet!K32</f>
        <v>6765</v>
      </c>
      <c r="L13" s="586"/>
    </row>
    <row r="14" spans="1:12" x14ac:dyDescent="0.3">
      <c r="A14" t="str">
        <f>balancesheet!A33</f>
        <v>Other Equity</v>
      </c>
      <c r="B14" s="243">
        <f>balancesheet!F33</f>
        <v>772720</v>
      </c>
      <c r="C14" s="243">
        <f>balancesheet!G33</f>
        <v>864012.9512817529</v>
      </c>
      <c r="D14" s="243">
        <f>balancesheet!H33</f>
        <v>968668.1942680683</v>
      </c>
      <c r="E14" s="243">
        <f>balancesheet!I33</f>
        <v>1084911.4331553697</v>
      </c>
      <c r="F14" s="243">
        <f>balancesheet!J33</f>
        <v>1214341.2177220802</v>
      </c>
      <c r="G14" s="243">
        <f>balancesheet!K33</f>
        <v>1360794.8808003205</v>
      </c>
    </row>
    <row r="15" spans="1:12" x14ac:dyDescent="0.3">
      <c r="A15" t="str">
        <f>balancesheet!A34</f>
        <v>Non-Controlling Interest</v>
      </c>
      <c r="B15" s="243">
        <f>balancesheet!F34</f>
        <v>109499</v>
      </c>
      <c r="C15" s="243">
        <f>balancesheet!G34</f>
        <v>119642.6612535281</v>
      </c>
      <c r="D15" s="243">
        <f>balancesheet!H34</f>
        <v>131271.02158534093</v>
      </c>
      <c r="E15" s="243">
        <f>balancesheet!I34</f>
        <v>144186.93701726329</v>
      </c>
      <c r="F15" s="243">
        <f>balancesheet!J34</f>
        <v>158568.02419134224</v>
      </c>
      <c r="G15" s="243">
        <f>balancesheet!K34</f>
        <v>174840.6534222578</v>
      </c>
    </row>
    <row r="16" spans="1:12" x14ac:dyDescent="0.3">
      <c r="B16" s="243">
        <f>SUM(B13:B14)</f>
        <v>779485</v>
      </c>
      <c r="C16" s="243">
        <f t="shared" ref="C16:G16" si="1">SUM(C13:C14)</f>
        <v>870777.9512817529</v>
      </c>
      <c r="D16" s="243">
        <f t="shared" si="1"/>
        <v>975433.1942680683</v>
      </c>
      <c r="E16" s="243">
        <f t="shared" si="1"/>
        <v>1091676.4331553697</v>
      </c>
      <c r="F16" s="243">
        <f t="shared" si="1"/>
        <v>1221106.2177220802</v>
      </c>
      <c r="G16" s="243">
        <f t="shared" si="1"/>
        <v>1367559.8808003205</v>
      </c>
    </row>
    <row r="17" spans="1:8" x14ac:dyDescent="0.3">
      <c r="A17" t="s">
        <v>691</v>
      </c>
      <c r="B17">
        <v>676.5</v>
      </c>
      <c r="C17">
        <v>676.5</v>
      </c>
      <c r="D17">
        <v>676.5</v>
      </c>
      <c r="E17">
        <v>676.5</v>
      </c>
      <c r="F17">
        <v>676.5</v>
      </c>
      <c r="G17">
        <v>676.5</v>
      </c>
    </row>
    <row r="18" spans="1:8" x14ac:dyDescent="0.3">
      <c r="A18" t="s">
        <v>695</v>
      </c>
      <c r="B18" s="243">
        <f>B16/B17</f>
        <v>1152.2320768662232</v>
      </c>
      <c r="C18" s="243">
        <f t="shared" ref="C18:G18" si="2">C16/C17</f>
        <v>1287.1810070683709</v>
      </c>
      <c r="D18" s="243">
        <f t="shared" si="2"/>
        <v>1441.8820314383863</v>
      </c>
      <c r="E18" s="243">
        <f t="shared" si="2"/>
        <v>1613.712391951766</v>
      </c>
      <c r="F18" s="243">
        <f t="shared" si="2"/>
        <v>1805.0350594561421</v>
      </c>
      <c r="G18" s="243">
        <f t="shared" si="2"/>
        <v>2021.5223662975914</v>
      </c>
    </row>
    <row r="19" spans="1:8" x14ac:dyDescent="0.3">
      <c r="B19" s="243"/>
      <c r="C19" s="243"/>
      <c r="D19" s="243"/>
      <c r="E19" s="243"/>
      <c r="F19" s="243"/>
      <c r="G19" s="243"/>
    </row>
    <row r="20" spans="1:8" x14ac:dyDescent="0.3">
      <c r="B20" s="243"/>
      <c r="C20" s="243">
        <f>C18-B18+(C28/C17)</f>
        <v>296.17823749264676</v>
      </c>
      <c r="D20" s="243">
        <f>D18-C18+(D28/D17)</f>
        <v>339.52901047517116</v>
      </c>
      <c r="E20" s="243">
        <f>E18-D18+(E28/E17)</f>
        <v>377.12350330116914</v>
      </c>
      <c r="F20" s="243">
        <f>F18-E18+(F28/F17)</f>
        <v>419.90411016193411</v>
      </c>
      <c r="G20" s="243">
        <f>G18-F18+(G28/G17)</f>
        <v>475.13402947161541</v>
      </c>
    </row>
    <row r="21" spans="1:8" x14ac:dyDescent="0.3">
      <c r="B21" s="243"/>
      <c r="C21" s="243">
        <f>B18*14%</f>
        <v>161.31249076127128</v>
      </c>
      <c r="D21" s="243">
        <f t="shared" ref="D21:G21" si="3">C18*14%</f>
        <v>180.20534098957194</v>
      </c>
      <c r="E21" s="243">
        <f t="shared" si="3"/>
        <v>201.86348440137411</v>
      </c>
      <c r="F21" s="243">
        <f t="shared" si="3"/>
        <v>225.91973487324725</v>
      </c>
      <c r="G21" s="243">
        <f t="shared" si="3"/>
        <v>252.70490832385991</v>
      </c>
    </row>
    <row r="22" spans="1:8" x14ac:dyDescent="0.3">
      <c r="B22" s="243"/>
      <c r="C22" s="243">
        <f>C28/C17</f>
        <v>161.22930729049904</v>
      </c>
      <c r="D22" s="243">
        <f>D28/D17</f>
        <v>184.82798610515582</v>
      </c>
      <c r="E22" s="243">
        <f>E28/E17</f>
        <v>205.29314278778946</v>
      </c>
      <c r="F22" s="243">
        <f>F28/F17</f>
        <v>228.58144265755803</v>
      </c>
      <c r="G22" s="243">
        <f>G28/G17</f>
        <v>258.64672263016615</v>
      </c>
    </row>
    <row r="23" spans="1:8" x14ac:dyDescent="0.3">
      <c r="B23" s="243"/>
      <c r="C23" s="243">
        <f>C22-C21</f>
        <v>-8.3183470772240753E-2</v>
      </c>
      <c r="D23" s="243">
        <f t="shared" ref="D23:G23" si="4">D22-D21</f>
        <v>4.6226451155838788</v>
      </c>
      <c r="E23" s="243">
        <f t="shared" si="4"/>
        <v>3.4296583864153547</v>
      </c>
      <c r="F23" s="243">
        <f t="shared" si="4"/>
        <v>2.6617077843107779</v>
      </c>
      <c r="G23" s="243">
        <f t="shared" si="4"/>
        <v>5.9418143063062416</v>
      </c>
    </row>
    <row r="24" spans="1:8" x14ac:dyDescent="0.3">
      <c r="C24" s="243">
        <v>1</v>
      </c>
      <c r="D24">
        <v>2</v>
      </c>
      <c r="E24">
        <v>3</v>
      </c>
      <c r="F24">
        <v>4</v>
      </c>
      <c r="G24">
        <v>5</v>
      </c>
    </row>
    <row r="25" spans="1:8" x14ac:dyDescent="0.3">
      <c r="B25" s="243"/>
      <c r="C25" s="243">
        <f>-PV('valuation freecash flow'!$B$49,C24,0,C23,0)</f>
        <v>-7.3182529277500699E-2</v>
      </c>
      <c r="D25" s="243">
        <f>-PV('valuation freecash flow'!$B$49,D24,0,D23,0)</f>
        <v>3.5779256350996258</v>
      </c>
      <c r="E25" s="243">
        <f>-PV('valuation freecash flow'!$B$49,E24,0,E23,0)</f>
        <v>2.335403884999756</v>
      </c>
      <c r="F25" s="243">
        <f>-PV('valuation freecash flow'!$B$49,F24,0,F23,0)</f>
        <v>1.5945637512636814</v>
      </c>
      <c r="G25" s="243">
        <f>-PV('valuation freecash flow'!$B$49,G24,0,G23,0)</f>
        <v>3.131633755901126</v>
      </c>
    </row>
    <row r="26" spans="1:8" x14ac:dyDescent="0.3">
      <c r="B26" s="243">
        <f>SUM(B25:G25)</f>
        <v>10.566344497986689</v>
      </c>
      <c r="C26" s="243"/>
    </row>
    <row r="28" spans="1:8" ht="28.8" x14ac:dyDescent="0.3">
      <c r="A28" s="524" t="str">
        <f>profitloss!A35</f>
        <v>Total Comprehensive Income for the Year</v>
      </c>
      <c r="B28" s="180">
        <f>profitloss!F35</f>
        <v>90105</v>
      </c>
      <c r="C28" s="180">
        <f>profitloss!G35</f>
        <v>109071.6263820226</v>
      </c>
      <c r="D28" s="180">
        <f>profitloss!H35</f>
        <v>125036.13260013791</v>
      </c>
      <c r="E28" s="180">
        <f>profitloss!I35</f>
        <v>138880.81109593957</v>
      </c>
      <c r="F28" s="180">
        <f>profitloss!J35</f>
        <v>154635.345957838</v>
      </c>
      <c r="G28" s="180">
        <f>profitloss!K35</f>
        <v>174974.5078593074</v>
      </c>
    </row>
    <row r="29" spans="1:8" x14ac:dyDescent="0.3">
      <c r="B29" s="241"/>
      <c r="C29" s="241"/>
      <c r="D29" s="241"/>
      <c r="E29" s="241"/>
      <c r="F29" s="241"/>
      <c r="G29" s="241"/>
    </row>
    <row r="30" spans="1:8" x14ac:dyDescent="0.3">
      <c r="A30" t="s">
        <v>696</v>
      </c>
      <c r="C30" s="180"/>
      <c r="D30" s="180"/>
      <c r="E30" s="180"/>
      <c r="F30" s="180"/>
      <c r="G30" s="180"/>
    </row>
    <row r="31" spans="1:8" x14ac:dyDescent="0.3">
      <c r="A31" t="s">
        <v>697</v>
      </c>
      <c r="B31" s="536">
        <v>44651</v>
      </c>
      <c r="C31" s="241">
        <v>2650</v>
      </c>
      <c r="D31" s="241"/>
      <c r="E31" s="241"/>
      <c r="F31" s="241"/>
      <c r="G31" s="241"/>
      <c r="H31" s="180">
        <f t="shared" ref="H31" si="5">+H29</f>
        <v>0</v>
      </c>
    </row>
    <row r="32" spans="1:8" x14ac:dyDescent="0.3">
      <c r="B32" s="536">
        <v>44286</v>
      </c>
      <c r="C32" s="180">
        <v>2050</v>
      </c>
      <c r="D32" s="180"/>
      <c r="E32" s="180"/>
      <c r="F32" s="180"/>
      <c r="G32" s="180"/>
    </row>
    <row r="33" spans="1:7" x14ac:dyDescent="0.3">
      <c r="C33" s="534">
        <f>AVERAGE(C31:C32)</f>
        <v>2350</v>
      </c>
      <c r="D33" s="534"/>
      <c r="E33" s="534"/>
      <c r="F33" s="534"/>
      <c r="G33" s="535"/>
    </row>
    <row r="34" spans="1:7" x14ac:dyDescent="0.3">
      <c r="A34" t="s">
        <v>698</v>
      </c>
      <c r="B34" s="530"/>
      <c r="C34" s="243">
        <f>B26</f>
        <v>10.566344497986689</v>
      </c>
    </row>
    <row r="35" spans="1:7" ht="21" x14ac:dyDescent="0.4">
      <c r="A35" s="581" t="s">
        <v>699</v>
      </c>
      <c r="B35" s="582"/>
      <c r="C35" s="583">
        <f>+C33+C34</f>
        <v>2360.5663444979868</v>
      </c>
    </row>
  </sheetData>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3FB5-D3E9-4178-831A-10F9817E85E9}">
  <sheetPr>
    <tabColor rgb="FFFF0000"/>
  </sheetPr>
  <dimension ref="A3:D12"/>
  <sheetViews>
    <sheetView workbookViewId="0">
      <selection activeCell="A3" sqref="A3:C12"/>
    </sheetView>
  </sheetViews>
  <sheetFormatPr defaultRowHeight="14.4" x14ac:dyDescent="0.3"/>
  <cols>
    <col min="1" max="1" width="11.6640625" customWidth="1"/>
    <col min="2" max="2" width="43" hidden="1" customWidth="1"/>
    <col min="3" max="3" width="20.21875" bestFit="1" customWidth="1"/>
  </cols>
  <sheetData>
    <row r="3" spans="1:4" x14ac:dyDescent="0.3">
      <c r="A3" t="s">
        <v>832</v>
      </c>
      <c r="B3" t="s">
        <v>313</v>
      </c>
      <c r="C3" t="s">
        <v>833</v>
      </c>
    </row>
    <row r="4" spans="1:4" x14ac:dyDescent="0.3">
      <c r="A4" t="s">
        <v>719</v>
      </c>
      <c r="B4" t="e" vm="1">
        <v>#VALUE!</v>
      </c>
      <c r="C4" s="586" cm="1">
        <f t="array" ref="C4">_FV(B4,"Price")</f>
        <v>2537.25</v>
      </c>
      <c r="D4" s="586"/>
    </row>
    <row r="5" spans="1:4" x14ac:dyDescent="0.3">
      <c r="A5" t="s">
        <v>826</v>
      </c>
      <c r="B5" t="e" vm="1">
        <v>#VALUE!</v>
      </c>
      <c r="C5" s="251" cm="1">
        <f t="array" ref="C5">_FV(B5,"Beta")</f>
        <v>1.0730999999999999</v>
      </c>
    </row>
    <row r="6" spans="1:4" x14ac:dyDescent="0.3">
      <c r="A6" t="s">
        <v>736</v>
      </c>
      <c r="B6" t="e" vm="1">
        <v>#VALUE!</v>
      </c>
      <c r="C6" t="str" cm="1">
        <f t="array" ref="C6">_FV(B6,"Industry")</f>
        <v>Oil &amp; Gas</v>
      </c>
    </row>
    <row r="7" spans="1:4" x14ac:dyDescent="0.3">
      <c r="A7" t="s">
        <v>827</v>
      </c>
      <c r="B7" t="e" vm="1">
        <v>#VALUE!</v>
      </c>
      <c r="C7" s="586" cm="1">
        <f t="array" ref="C7">_FV(B7,"52 week high",TRUE)</f>
        <v>2855</v>
      </c>
    </row>
    <row r="8" spans="1:4" x14ac:dyDescent="0.3">
      <c r="A8" t="s">
        <v>828</v>
      </c>
      <c r="B8" t="e" vm="1">
        <v>#VALUE!</v>
      </c>
      <c r="C8" s="586" cm="1">
        <f t="array" ref="C8">_FV(B8,"52 week low",TRUE)</f>
        <v>2181</v>
      </c>
    </row>
    <row r="9" spans="1:4" x14ac:dyDescent="0.3">
      <c r="A9" t="s">
        <v>829</v>
      </c>
      <c r="B9" t="e" vm="1">
        <v>#VALUE!</v>
      </c>
      <c r="C9" s="597" cm="1">
        <f t="array" ref="C9">_FV(B9,"Market cap",TRUE)</f>
        <v>16669470000000</v>
      </c>
    </row>
    <row r="10" spans="1:4" x14ac:dyDescent="0.3">
      <c r="A10" t="s">
        <v>691</v>
      </c>
      <c r="B10" t="e" vm="1">
        <v>#VALUE!</v>
      </c>
      <c r="C10" s="180" cm="1">
        <f t="array" ref="C10">_FV(B10,"Shares outstanding",TRUE)</f>
        <v>6570968000</v>
      </c>
    </row>
    <row r="11" spans="1:4" x14ac:dyDescent="0.3">
      <c r="A11" t="s">
        <v>830</v>
      </c>
      <c r="B11" t="e" vm="1">
        <v>#VALUE!</v>
      </c>
      <c r="C11" s="251" cm="1">
        <f t="array" ref="C11">_FV(B11,"P/E",TRUE)</f>
        <v>25.45</v>
      </c>
    </row>
    <row r="12" spans="1:4" x14ac:dyDescent="0.3">
      <c r="A12" t="s">
        <v>831</v>
      </c>
      <c r="B12" t="e" vm="1">
        <v>#VALUE!</v>
      </c>
      <c r="C12" s="586" cm="1">
        <f t="array" ref="C12">_FV(B12,"Change")</f>
        <v>23.75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8D043-7B36-4DBF-A7CF-A332523C5940}">
  <sheetPr>
    <tabColor rgb="FFFF0000"/>
  </sheetPr>
  <dimension ref="A8:G57"/>
  <sheetViews>
    <sheetView topLeftCell="A12" workbookViewId="0">
      <selection activeCell="B43" activeCellId="1" sqref="B31:F31 B43:F43"/>
    </sheetView>
  </sheetViews>
  <sheetFormatPr defaultRowHeight="14.4" x14ac:dyDescent="0.3"/>
  <cols>
    <col min="1" max="1" width="47.6640625" bestFit="1" customWidth="1"/>
    <col min="2" max="2" width="20.21875" bestFit="1" customWidth="1"/>
    <col min="3" max="3" width="37.77734375" bestFit="1" customWidth="1"/>
    <col min="4" max="6" width="17.44140625" bestFit="1" customWidth="1"/>
  </cols>
  <sheetData>
    <row r="8" spans="1:6" ht="15.6" x14ac:dyDescent="0.3">
      <c r="A8" s="1" t="s">
        <v>661</v>
      </c>
    </row>
    <row r="10" spans="1:6" x14ac:dyDescent="0.3">
      <c r="A10" s="179" t="s">
        <v>662</v>
      </c>
    </row>
    <row r="11" spans="1:6" x14ac:dyDescent="0.3">
      <c r="A11" s="179" t="s">
        <v>663</v>
      </c>
    </row>
    <row r="12" spans="1:6" x14ac:dyDescent="0.3">
      <c r="A12" s="179" t="s">
        <v>666</v>
      </c>
      <c r="B12" s="196">
        <v>7.3499999999999996E-2</v>
      </c>
      <c r="C12" t="s">
        <v>667</v>
      </c>
    </row>
    <row r="13" spans="1:6" x14ac:dyDescent="0.3">
      <c r="A13" s="179" t="s">
        <v>664</v>
      </c>
      <c r="B13">
        <v>1.05</v>
      </c>
      <c r="C13" t="s">
        <v>665</v>
      </c>
    </row>
    <row r="14" spans="1:6" x14ac:dyDescent="0.3">
      <c r="A14" s="179"/>
    </row>
    <row r="15" spans="1:6" x14ac:dyDescent="0.3">
      <c r="A15" s="179" t="s">
        <v>693</v>
      </c>
      <c r="B15" t="s">
        <v>668</v>
      </c>
      <c r="C15">
        <v>3.15</v>
      </c>
      <c r="D15">
        <v>12.02</v>
      </c>
      <c r="E15">
        <v>14.17</v>
      </c>
      <c r="F15">
        <v>24.12</v>
      </c>
    </row>
    <row r="16" spans="1:6" x14ac:dyDescent="0.3">
      <c r="A16" s="179" t="s">
        <v>669</v>
      </c>
      <c r="B16">
        <f>AVERAGE(B15:F15)</f>
        <v>13.365</v>
      </c>
    </row>
    <row r="17" spans="1:7" x14ac:dyDescent="0.3">
      <c r="A17" s="179"/>
    </row>
    <row r="18" spans="1:7" x14ac:dyDescent="0.3">
      <c r="A18" s="179" t="s">
        <v>670</v>
      </c>
      <c r="B18" s="194">
        <v>0.13364999999999999</v>
      </c>
    </row>
    <row r="19" spans="1:7" x14ac:dyDescent="0.3">
      <c r="A19" s="179"/>
    </row>
    <row r="20" spans="1:7" x14ac:dyDescent="0.3">
      <c r="A20" s="179" t="s">
        <v>671</v>
      </c>
      <c r="B20" s="182">
        <f>+B12+B13*(B18-B12)</f>
        <v>0.13665749999999999</v>
      </c>
    </row>
    <row r="21" spans="1:7" x14ac:dyDescent="0.3">
      <c r="A21" s="179"/>
    </row>
    <row r="22" spans="1:7" x14ac:dyDescent="0.3">
      <c r="A22" s="179"/>
    </row>
    <row r="23" spans="1:7" x14ac:dyDescent="0.3">
      <c r="A23" t="s">
        <v>672</v>
      </c>
      <c r="B23" s="182">
        <f>8.51%*(1-0.25)</f>
        <v>6.3824999999999993E-2</v>
      </c>
    </row>
    <row r="25" spans="1:7" x14ac:dyDescent="0.3">
      <c r="A25" t="s">
        <v>673</v>
      </c>
      <c r="B25" t="s">
        <v>313</v>
      </c>
      <c r="C25" t="s">
        <v>674</v>
      </c>
      <c r="D25" t="s">
        <v>675</v>
      </c>
      <c r="E25" t="s">
        <v>662</v>
      </c>
      <c r="F25" s="527" t="s">
        <v>676</v>
      </c>
    </row>
    <row r="26" spans="1:7" x14ac:dyDescent="0.3">
      <c r="A26" t="s">
        <v>510</v>
      </c>
      <c r="C26" s="243">
        <f>SUM(balancesheet!F32:F34)</f>
        <v>888984</v>
      </c>
      <c r="D26" s="182">
        <f>C26/C28</f>
        <v>0.78014859070509501</v>
      </c>
      <c r="E26" s="189">
        <f>B20</f>
        <v>0.13665749999999999</v>
      </c>
      <c r="F26" s="194">
        <f>E26*D26</f>
        <v>0.10661315603428151</v>
      </c>
    </row>
    <row r="27" spans="1:7" x14ac:dyDescent="0.3">
      <c r="A27" t="s">
        <v>505</v>
      </c>
      <c r="C27" s="243">
        <f>debt!E7</f>
        <v>250522</v>
      </c>
      <c r="D27" s="182">
        <f>C27/C28</f>
        <v>0.21985140929490499</v>
      </c>
      <c r="E27" s="189">
        <f>B23</f>
        <v>6.3824999999999993E-2</v>
      </c>
      <c r="F27" s="194">
        <f>E27*D27</f>
        <v>1.4032016198247309E-2</v>
      </c>
    </row>
    <row r="28" spans="1:7" x14ac:dyDescent="0.3">
      <c r="C28" s="243">
        <f>SUM(C26:C27)</f>
        <v>1139506</v>
      </c>
      <c r="D28" s="189">
        <v>1</v>
      </c>
      <c r="F28" s="196">
        <f>SUM(F26:F27)</f>
        <v>0.12064517223252882</v>
      </c>
    </row>
    <row r="30" spans="1:7" ht="18" x14ac:dyDescent="0.35">
      <c r="A30" s="532" t="s">
        <v>677</v>
      </c>
    </row>
    <row r="31" spans="1:7" x14ac:dyDescent="0.3">
      <c r="A31" t="s">
        <v>368</v>
      </c>
      <c r="B31" s="527" t="s">
        <v>439</v>
      </c>
      <c r="C31" s="527" t="s">
        <v>440</v>
      </c>
      <c r="D31" s="527" t="s">
        <v>441</v>
      </c>
      <c r="E31" s="527" t="s">
        <v>442</v>
      </c>
      <c r="F31" s="527" t="s">
        <v>443</v>
      </c>
    </row>
    <row r="32" spans="1:7" x14ac:dyDescent="0.3">
      <c r="A32" t="s">
        <v>678</v>
      </c>
      <c r="B32" s="180">
        <f>profitloss!G28</f>
        <v>56074.126382022601</v>
      </c>
      <c r="C32" s="180">
        <f>profitloss!H28</f>
        <v>73670.632600137906</v>
      </c>
      <c r="D32" s="180">
        <f>profitloss!I28</f>
        <v>86699.311095939571</v>
      </c>
      <c r="E32" s="180">
        <f>profitloss!J28</f>
        <v>102861.845957838</v>
      </c>
      <c r="F32" s="180">
        <f>profitloss!K28</f>
        <v>122997.0078593074</v>
      </c>
      <c r="G32" s="180"/>
    </row>
    <row r="33" spans="1:6" x14ac:dyDescent="0.3">
      <c r="A33" t="s">
        <v>679</v>
      </c>
      <c r="B33" s="243">
        <f>profitloss!G17</f>
        <v>35113.251789473688</v>
      </c>
      <c r="C33" s="243">
        <f>profitloss!H17</f>
        <v>36394.961558095238</v>
      </c>
      <c r="D33" s="243">
        <f>profitloss!I17</f>
        <v>38187.399200765227</v>
      </c>
      <c r="E33" s="243">
        <f>profitloss!J17</f>
        <v>40502.86242314001</v>
      </c>
      <c r="F33" s="243">
        <f>profitloss!K17</f>
        <v>43377.202907283092</v>
      </c>
    </row>
    <row r="34" spans="1:6" x14ac:dyDescent="0.3">
      <c r="A34" t="s">
        <v>680</v>
      </c>
      <c r="B34">
        <f>+profitloss!G16*(1-0.25)</f>
        <v>15774.650124631584</v>
      </c>
      <c r="C34">
        <f>+profitloss!H16*(1-0.25)</f>
        <v>17475.190950406919</v>
      </c>
      <c r="D34">
        <f>+profitloss!I16*(1-0.25)</f>
        <v>19573.484274388855</v>
      </c>
      <c r="E34">
        <f>+profitloss!J16*(1-0.25)</f>
        <v>22065.669942754055</v>
      </c>
      <c r="F34">
        <f>+profitloss!K16*(1-0.25)</f>
        <v>25011.543472392583</v>
      </c>
    </row>
    <row r="35" spans="1:6" x14ac:dyDescent="0.3">
      <c r="B35" s="181">
        <f>SUM(B32:B34)</f>
        <v>106962.02829612789</v>
      </c>
      <c r="C35" s="181">
        <f t="shared" ref="C35:F35" si="0">SUM(C32:C34)</f>
        <v>127540.78510864006</v>
      </c>
      <c r="D35" s="181">
        <f t="shared" si="0"/>
        <v>144460.19457109366</v>
      </c>
      <c r="E35" s="181">
        <f t="shared" si="0"/>
        <v>165430.37832373206</v>
      </c>
      <c r="F35" s="181">
        <f t="shared" si="0"/>
        <v>191385.75423898306</v>
      </c>
    </row>
    <row r="36" spans="1:6" x14ac:dyDescent="0.3">
      <c r="A36" t="s">
        <v>681</v>
      </c>
      <c r="B36" s="243">
        <f>+debt!B26</f>
        <v>38317.48328421067</v>
      </c>
      <c r="C36" s="243">
        <f>+debt!C26</f>
        <v>58953.053485834622</v>
      </c>
      <c r="D36" s="243">
        <f>+debt!D26</f>
        <v>69734.301711756852</v>
      </c>
      <c r="E36" s="243">
        <f>+debt!E26</f>
        <v>81255.01513693633</v>
      </c>
      <c r="F36" s="243">
        <f>+debt!F26</f>
        <v>93965.595428201254</v>
      </c>
    </row>
    <row r="37" spans="1:6" x14ac:dyDescent="0.3">
      <c r="A37" t="s">
        <v>682</v>
      </c>
      <c r="B37" s="243">
        <f>(balancesheet!G27-balancesheet!G54)-(balancesheet!F27-balancesheet!F54)</f>
        <v>23881.727322270919</v>
      </c>
      <c r="C37" s="243">
        <f>(balancesheet!H27-balancesheet!H54)-(balancesheet!G27-balancesheet!G54)</f>
        <v>26399.872295226844</v>
      </c>
      <c r="D37" s="243">
        <f>(balancesheet!I27-balancesheet!I54)-(balancesheet!H27-balancesheet!H54)</f>
        <v>26067.561601484602</v>
      </c>
      <c r="E37" s="243">
        <f>(balancesheet!J27-balancesheet!J54)-(balancesheet!I27-balancesheet!I54)</f>
        <v>27898.211597173067</v>
      </c>
      <c r="F37" s="243">
        <f>(balancesheet!K27-balancesheet!K54)-(balancesheet!J27-balancesheet!J54)</f>
        <v>31793.949425057275</v>
      </c>
    </row>
    <row r="38" spans="1:6" x14ac:dyDescent="0.3">
      <c r="A38" s="179" t="s">
        <v>683</v>
      </c>
      <c r="B38" s="529">
        <f>+B35-B36-B37</f>
        <v>44762.817689646297</v>
      </c>
      <c r="C38" s="529">
        <f t="shared" ref="C38:F38" si="1">+C35-C36-C37</f>
        <v>42187.859327578597</v>
      </c>
      <c r="D38" s="529">
        <f t="shared" si="1"/>
        <v>48658.331257852202</v>
      </c>
      <c r="E38" s="529">
        <f t="shared" si="1"/>
        <v>56277.151589622663</v>
      </c>
      <c r="F38" s="529">
        <f t="shared" si="1"/>
        <v>65626.209385724535</v>
      </c>
    </row>
    <row r="40" spans="1:6" x14ac:dyDescent="0.3">
      <c r="A40" t="str">
        <f>A38</f>
        <v>free cash flow of firm</v>
      </c>
      <c r="B40" s="243">
        <f t="shared" ref="B40:F40" si="2">B38</f>
        <v>44762.817689646297</v>
      </c>
      <c r="C40" s="243">
        <f t="shared" si="2"/>
        <v>42187.859327578597</v>
      </c>
      <c r="D40" s="243">
        <f t="shared" si="2"/>
        <v>48658.331257852202</v>
      </c>
      <c r="E40" s="243">
        <f t="shared" si="2"/>
        <v>56277.151589622663</v>
      </c>
      <c r="F40" s="243">
        <f t="shared" si="2"/>
        <v>65626.209385724535</v>
      </c>
    </row>
    <row r="41" spans="1:6" x14ac:dyDescent="0.3">
      <c r="A41" t="str">
        <f>A34</f>
        <v>add interest after tax</v>
      </c>
      <c r="B41" s="243">
        <f t="shared" ref="B41:F41" si="3">B34</f>
        <v>15774.650124631584</v>
      </c>
      <c r="C41" s="243">
        <f t="shared" si="3"/>
        <v>17475.190950406919</v>
      </c>
      <c r="D41" s="243">
        <f t="shared" si="3"/>
        <v>19573.484274388855</v>
      </c>
      <c r="E41" s="243">
        <f t="shared" si="3"/>
        <v>22065.669942754055</v>
      </c>
      <c r="F41" s="243">
        <f t="shared" si="3"/>
        <v>25011.543472392583</v>
      </c>
    </row>
    <row r="42" spans="1:6" x14ac:dyDescent="0.3">
      <c r="A42" t="s">
        <v>684</v>
      </c>
      <c r="B42" s="243">
        <f>debt!B31</f>
        <v>24777.67082105267</v>
      </c>
      <c r="C42" s="243">
        <f>debt!C31</f>
        <v>31907.02337145865</v>
      </c>
      <c r="D42" s="243">
        <f>debt!D31</f>
        <v>38036.087427939201</v>
      </c>
      <c r="E42" s="243">
        <f>debt!E31</f>
        <v>45036.768184234068</v>
      </c>
      <c r="F42" s="243">
        <f>debt!F31</f>
        <v>53159.01613705029</v>
      </c>
    </row>
    <row r="43" spans="1:6" x14ac:dyDescent="0.3">
      <c r="A43" s="179" t="s">
        <v>685</v>
      </c>
      <c r="B43" s="529">
        <f>+B40-B41+B42</f>
        <v>53765.838386067386</v>
      </c>
      <c r="C43" s="529">
        <f t="shared" ref="C43:F43" si="4">+C40-C41+C42</f>
        <v>56619.691748630328</v>
      </c>
      <c r="D43" s="529">
        <f t="shared" si="4"/>
        <v>67120.934411402544</v>
      </c>
      <c r="E43" s="529">
        <f t="shared" si="4"/>
        <v>79248.249831102672</v>
      </c>
      <c r="F43" s="529">
        <f t="shared" si="4"/>
        <v>93773.682050382238</v>
      </c>
    </row>
    <row r="44" spans="1:6" x14ac:dyDescent="0.3">
      <c r="A44" s="179"/>
      <c r="B44" s="529"/>
      <c r="C44" s="529"/>
      <c r="D44" s="529"/>
      <c r="E44" s="529"/>
      <c r="F44" s="529"/>
    </row>
    <row r="45" spans="1:6" x14ac:dyDescent="0.3">
      <c r="A45" t="s">
        <v>427</v>
      </c>
      <c r="B45" s="194">
        <f>B46*B47</f>
        <v>9.6523671967099517E-2</v>
      </c>
    </row>
    <row r="46" spans="1:6" x14ac:dyDescent="0.3">
      <c r="A46" t="s">
        <v>686</v>
      </c>
      <c r="B46" s="182">
        <f>(profitloss!F35-profitloss!F53)/profitloss!F35</f>
        <v>0.95231119249764162</v>
      </c>
    </row>
    <row r="47" spans="1:6" x14ac:dyDescent="0.3">
      <c r="A47" t="s">
        <v>687</v>
      </c>
      <c r="B47" s="182">
        <f>profitloss!F35/'valuation freecash flow'!C26</f>
        <v>0.1013572797710645</v>
      </c>
    </row>
    <row r="49" spans="1:6" x14ac:dyDescent="0.3">
      <c r="A49" t="s">
        <v>662</v>
      </c>
      <c r="B49" s="189">
        <f>B20</f>
        <v>0.13665749999999999</v>
      </c>
    </row>
    <row r="51" spans="1:6" x14ac:dyDescent="0.3">
      <c r="A51" s="179" t="s">
        <v>688</v>
      </c>
      <c r="F51">
        <f>+F43/(B49-B47)</f>
        <v>2656461.6719732592</v>
      </c>
    </row>
    <row r="52" spans="1:6" x14ac:dyDescent="0.3">
      <c r="A52" t="s">
        <v>694</v>
      </c>
      <c r="B52" s="527" t="s">
        <v>9</v>
      </c>
      <c r="C52" s="527" t="s">
        <v>17</v>
      </c>
      <c r="D52" s="527" t="s">
        <v>19</v>
      </c>
      <c r="E52" s="527" t="s">
        <v>22</v>
      </c>
      <c r="F52" s="527" t="s">
        <v>24</v>
      </c>
    </row>
    <row r="53" spans="1:6" x14ac:dyDescent="0.3">
      <c r="A53" t="s">
        <v>689</v>
      </c>
      <c r="B53" s="243">
        <f>B43</f>
        <v>53765.838386067386</v>
      </c>
      <c r="C53" s="243">
        <f>C43</f>
        <v>56619.691748630328</v>
      </c>
      <c r="D53" s="243">
        <f>D43</f>
        <v>67120.934411402544</v>
      </c>
      <c r="E53" s="243">
        <f>E43</f>
        <v>79248.249831102672</v>
      </c>
      <c r="F53" s="243">
        <f>F51+F43</f>
        <v>2750235.3540236414</v>
      </c>
    </row>
    <row r="54" spans="1:6" x14ac:dyDescent="0.3">
      <c r="B54" s="530">
        <f>-PV($B$49,B52,0,B53,0)</f>
        <v>47301.705558681817</v>
      </c>
      <c r="C54" s="530">
        <f t="shared" ref="C54:F54" si="5">-PV($B$49,C52,0,C53,0)</f>
        <v>43823.620782811384</v>
      </c>
      <c r="D54" s="530">
        <f t="shared" si="5"/>
        <v>45705.569863779223</v>
      </c>
      <c r="E54" s="530">
        <f t="shared" si="5"/>
        <v>47475.67981602675</v>
      </c>
      <c r="F54" s="530">
        <f t="shared" si="5"/>
        <v>1449511.7866931902</v>
      </c>
    </row>
    <row r="55" spans="1:6" x14ac:dyDescent="0.3">
      <c r="A55" t="s">
        <v>690</v>
      </c>
      <c r="B55" s="530">
        <f>SUM(B54:F54)</f>
        <v>1633818.3627144895</v>
      </c>
    </row>
    <row r="56" spans="1:6" ht="15" thickBot="1" x14ac:dyDescent="0.35">
      <c r="A56" t="s">
        <v>691</v>
      </c>
      <c r="B56" s="531">
        <v>677</v>
      </c>
    </row>
    <row r="57" spans="1:6" x14ac:dyDescent="0.3">
      <c r="A57" t="s">
        <v>692</v>
      </c>
      <c r="B57" s="533">
        <f>+B55/B56</f>
        <v>2413.3210675250953</v>
      </c>
    </row>
  </sheetData>
  <pageMargins left="0.7" right="0.7" top="0.75" bottom="0.75" header="0.3" footer="0.3"/>
  <drawing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39EE2-3FB7-4D1D-A5FC-9F28E7B84C13}">
  <sheetPr>
    <tabColor rgb="FFFF0000"/>
  </sheetPr>
  <dimension ref="A8:X95"/>
  <sheetViews>
    <sheetView tabSelected="1" topLeftCell="A39" workbookViewId="0">
      <selection activeCell="F52" sqref="F52"/>
    </sheetView>
  </sheetViews>
  <sheetFormatPr defaultRowHeight="14.4" x14ac:dyDescent="0.3"/>
  <cols>
    <col min="1" max="1" width="27" customWidth="1"/>
    <col min="2" max="3" width="10.109375" customWidth="1"/>
    <col min="4" max="4" width="12.77734375" bestFit="1" customWidth="1"/>
    <col min="5" max="5" width="12.109375" bestFit="1" customWidth="1"/>
    <col min="6" max="6" width="17.109375" customWidth="1"/>
    <col min="7" max="7" width="11.44140625" bestFit="1" customWidth="1"/>
    <col min="8" max="8" width="11.33203125" customWidth="1"/>
    <col min="9" max="9" width="11.21875" customWidth="1"/>
    <col min="10" max="12" width="11.44140625" bestFit="1" customWidth="1"/>
    <col min="13" max="13" width="13.77734375" customWidth="1"/>
    <col min="14" max="14" width="13.21875" customWidth="1"/>
    <col min="17" max="17" width="12.6640625" bestFit="1" customWidth="1"/>
  </cols>
  <sheetData>
    <row r="8" spans="1:15" x14ac:dyDescent="0.3">
      <c r="A8" t="s">
        <v>368</v>
      </c>
      <c r="B8" t="s">
        <v>810</v>
      </c>
      <c r="C8" t="s">
        <v>811</v>
      </c>
      <c r="D8" t="s">
        <v>812</v>
      </c>
      <c r="E8" t="s">
        <v>813</v>
      </c>
      <c r="F8" t="s">
        <v>814</v>
      </c>
      <c r="G8" t="s">
        <v>815</v>
      </c>
      <c r="H8" t="s">
        <v>778</v>
      </c>
      <c r="I8" t="s">
        <v>779</v>
      </c>
    </row>
    <row r="9" spans="1:15" x14ac:dyDescent="0.3">
      <c r="A9" t="s">
        <v>774</v>
      </c>
      <c r="G9" s="530" t="e">
        <f>AVERAGE(M44,M53,M58)</f>
        <v>#VALUE!</v>
      </c>
    </row>
    <row r="10" spans="1:15" x14ac:dyDescent="0.3">
      <c r="A10" t="s">
        <v>777</v>
      </c>
      <c r="F10" t="s">
        <v>780</v>
      </c>
      <c r="G10" s="530"/>
      <c r="H10" s="530">
        <f>H78</f>
        <v>2628.0002214303945</v>
      </c>
      <c r="I10" s="530">
        <f>I78</f>
        <v>2272.7132352270892</v>
      </c>
    </row>
    <row r="11" spans="1:15" x14ac:dyDescent="0.3">
      <c r="F11" t="s">
        <v>781</v>
      </c>
      <c r="G11" s="530"/>
      <c r="H11" s="243">
        <f>H77</f>
        <v>2995.9202524306502</v>
      </c>
      <c r="I11" s="243">
        <f>I77</f>
        <v>2953.6181205011258</v>
      </c>
    </row>
    <row r="12" spans="1:15" ht="18" x14ac:dyDescent="0.35">
      <c r="A12" s="599" t="s">
        <v>710</v>
      </c>
      <c r="B12" s="599"/>
      <c r="C12" s="599"/>
      <c r="D12" s="599"/>
      <c r="E12" s="599"/>
      <c r="F12" s="599"/>
      <c r="G12" s="599"/>
      <c r="H12" s="600" t="s">
        <v>714</v>
      </c>
      <c r="I12" s="600"/>
      <c r="J12" s="600"/>
      <c r="K12" s="600"/>
      <c r="L12" s="600"/>
      <c r="M12" s="600"/>
      <c r="N12" s="600"/>
      <c r="O12" s="600"/>
    </row>
    <row r="14" spans="1:15" ht="15" thickBot="1" x14ac:dyDescent="0.35">
      <c r="A14" s="543" t="s">
        <v>704</v>
      </c>
      <c r="B14" s="544"/>
      <c r="C14" s="544"/>
      <c r="D14" s="544"/>
      <c r="E14" s="544"/>
      <c r="F14" s="544"/>
      <c r="G14" s="544"/>
      <c r="I14" s="545" t="s">
        <v>711</v>
      </c>
    </row>
    <row r="15" spans="1:15" ht="15" thickBot="1" x14ac:dyDescent="0.35">
      <c r="A15" s="543" t="s">
        <v>705</v>
      </c>
      <c r="B15" s="544"/>
      <c r="C15" s="544"/>
      <c r="D15" s="544"/>
      <c r="E15" s="544"/>
      <c r="F15" s="544"/>
      <c r="G15" s="544"/>
      <c r="I15" s="545" t="s">
        <v>712</v>
      </c>
    </row>
    <row r="16" spans="1:15" ht="15" thickBot="1" x14ac:dyDescent="0.35">
      <c r="A16" s="543" t="s">
        <v>706</v>
      </c>
      <c r="B16" s="544"/>
      <c r="C16" s="544"/>
      <c r="D16" s="544"/>
      <c r="E16" s="544"/>
      <c r="F16" s="544"/>
      <c r="G16" s="544"/>
      <c r="I16" s="545" t="s">
        <v>713</v>
      </c>
    </row>
    <row r="17" spans="1:20" ht="15" thickBot="1" x14ac:dyDescent="0.35">
      <c r="A17" s="543" t="s">
        <v>707</v>
      </c>
      <c r="B17" s="544"/>
      <c r="C17" s="544"/>
      <c r="D17" s="544"/>
      <c r="E17" s="544"/>
      <c r="F17" s="544"/>
      <c r="G17" s="544"/>
    </row>
    <row r="18" spans="1:20" ht="15" thickBot="1" x14ac:dyDescent="0.35">
      <c r="A18" s="543" t="s">
        <v>708</v>
      </c>
      <c r="B18" s="544"/>
      <c r="C18" s="544"/>
      <c r="D18" s="544"/>
      <c r="E18" s="544"/>
      <c r="F18" s="544"/>
      <c r="G18" s="544"/>
    </row>
    <row r="19" spans="1:20" s="570" customFormat="1" ht="15" thickBot="1" x14ac:dyDescent="0.35">
      <c r="A19" s="571" t="s">
        <v>709</v>
      </c>
    </row>
    <row r="20" spans="1:20" x14ac:dyDescent="0.3">
      <c r="A20" s="567"/>
    </row>
    <row r="22" spans="1:20" x14ac:dyDescent="0.3">
      <c r="A22" t="s">
        <v>701</v>
      </c>
      <c r="B22">
        <v>31.22</v>
      </c>
      <c r="C22" s="568" t="s">
        <v>734</v>
      </c>
      <c r="D22" s="569">
        <v>2856.15</v>
      </c>
    </row>
    <row r="23" spans="1:20" x14ac:dyDescent="0.3">
      <c r="A23" t="s">
        <v>702</v>
      </c>
      <c r="B23">
        <v>85.22</v>
      </c>
      <c r="C23" s="547" t="s">
        <v>735</v>
      </c>
      <c r="D23" s="546">
        <v>2180</v>
      </c>
    </row>
    <row r="24" spans="1:20" x14ac:dyDescent="0.3">
      <c r="A24" t="s">
        <v>703</v>
      </c>
      <c r="B24" s="243">
        <f>+B22*B23</f>
        <v>2660.5683999999997</v>
      </c>
    </row>
    <row r="25" spans="1:20" x14ac:dyDescent="0.3">
      <c r="A25" t="s">
        <v>716</v>
      </c>
    </row>
    <row r="27" spans="1:20" x14ac:dyDescent="0.3">
      <c r="A27" s="179" t="s">
        <v>758</v>
      </c>
      <c r="C27">
        <f>+B22*H40</f>
        <v>2329.0034044080876</v>
      </c>
    </row>
    <row r="28" spans="1:20" x14ac:dyDescent="0.3">
      <c r="A28" s="179" t="s">
        <v>757</v>
      </c>
      <c r="C28">
        <f>1-0.95</f>
        <v>5.0000000000000044E-2</v>
      </c>
    </row>
    <row r="29" spans="1:20" x14ac:dyDescent="0.3">
      <c r="A29" s="179"/>
      <c r="C29">
        <f>0.1-0.0965</f>
        <v>3.5000000000000031E-3</v>
      </c>
      <c r="D29">
        <f>+C28/C29</f>
        <v>14.285714285714286</v>
      </c>
    </row>
    <row r="30" spans="1:20" ht="15" thickBot="1" x14ac:dyDescent="0.35">
      <c r="A30" s="179" t="s">
        <v>736</v>
      </c>
      <c r="E30">
        <v>27</v>
      </c>
    </row>
    <row r="31" spans="1:20" ht="15" thickBot="1" x14ac:dyDescent="0.35">
      <c r="A31" s="179" t="s">
        <v>742</v>
      </c>
      <c r="E31" s="243">
        <f>$E$30*H40</f>
        <v>2014.192566272209</v>
      </c>
      <c r="F31" s="243">
        <f>$E$30*I40</f>
        <v>2646.2621909583904</v>
      </c>
      <c r="G31" s="243">
        <f>$E$30*J40</f>
        <v>3114.254633601377</v>
      </c>
      <c r="H31" s="243">
        <f>$E$30*K40</f>
        <v>3694.8157528092588</v>
      </c>
      <c r="I31" s="243">
        <f>$E$30*L40</f>
        <v>4418.074339957383</v>
      </c>
      <c r="N31" s="550"/>
      <c r="O31" s="549"/>
      <c r="P31" s="549"/>
      <c r="Q31" s="549"/>
      <c r="R31" s="549"/>
      <c r="S31" s="549"/>
      <c r="T31" s="549"/>
    </row>
    <row r="32" spans="1:20" x14ac:dyDescent="0.3">
      <c r="A32" s="179" t="s">
        <v>775</v>
      </c>
      <c r="E32" s="243"/>
      <c r="F32" s="243"/>
      <c r="G32" s="243"/>
      <c r="H32" s="243"/>
      <c r="I32" s="243"/>
      <c r="N32" s="561"/>
      <c r="O32" s="562"/>
      <c r="P32" s="562"/>
      <c r="Q32" s="562"/>
      <c r="R32" s="562"/>
      <c r="S32" s="562"/>
      <c r="T32" s="562"/>
    </row>
    <row r="33" spans="1:24" ht="15" thickBot="1" x14ac:dyDescent="0.35">
      <c r="A33" s="564" t="s">
        <v>737</v>
      </c>
      <c r="B33" s="566" t="s">
        <v>759</v>
      </c>
      <c r="C33" s="566" t="s">
        <v>760</v>
      </c>
      <c r="D33" s="566" t="s">
        <v>761</v>
      </c>
      <c r="E33" s="566" t="s">
        <v>762</v>
      </c>
      <c r="F33" s="566" t="s">
        <v>763</v>
      </c>
      <c r="G33" s="566" t="s">
        <v>764</v>
      </c>
      <c r="H33" s="566" t="s">
        <v>765</v>
      </c>
      <c r="I33" s="566" t="s">
        <v>766</v>
      </c>
      <c r="J33" s="566" t="s">
        <v>767</v>
      </c>
      <c r="K33" s="566" t="s">
        <v>768</v>
      </c>
      <c r="P33" s="551"/>
    </row>
    <row r="34" spans="1:24" ht="15" thickBot="1" x14ac:dyDescent="0.35">
      <c r="A34" s="565" t="s">
        <v>738</v>
      </c>
      <c r="B34" s="552">
        <v>14.35</v>
      </c>
      <c r="C34" s="563">
        <v>20.21</v>
      </c>
      <c r="D34" s="552">
        <v>17.489999999999998</v>
      </c>
      <c r="E34" s="563">
        <v>26.23</v>
      </c>
      <c r="F34" s="552">
        <v>28.64</v>
      </c>
      <c r="G34" s="243">
        <f>$B$24/H40</f>
        <v>35.664587389948579</v>
      </c>
      <c r="H34" s="243">
        <f>$B$24/I40</f>
        <v>27.145967261083662</v>
      </c>
      <c r="I34" s="243">
        <f>$B$24/J40</f>
        <v>23.066625967231321</v>
      </c>
      <c r="J34" s="243">
        <f>$B$24/K40</f>
        <v>19.442199992078582</v>
      </c>
      <c r="K34" s="243">
        <f>$B$24/L40</f>
        <v>16.259424643518543</v>
      </c>
      <c r="P34" s="553"/>
    </row>
    <row r="35" spans="1:24" ht="15" thickBot="1" x14ac:dyDescent="0.35">
      <c r="A35" s="565" t="s">
        <v>739</v>
      </c>
      <c r="B35" s="554">
        <v>1.78</v>
      </c>
      <c r="C35" s="563">
        <v>2.09</v>
      </c>
      <c r="D35" s="554">
        <v>1.57</v>
      </c>
      <c r="E35" s="563">
        <v>1.84</v>
      </c>
      <c r="F35" s="554">
        <v>2.29</v>
      </c>
      <c r="G35" s="243">
        <f>$B$24/H51</f>
        <v>1.8172829804023127</v>
      </c>
      <c r="H35" s="243">
        <f>$B$24/I51</f>
        <v>1.6263374592931035</v>
      </c>
      <c r="I35" s="243">
        <f>$B$24/J51</f>
        <v>1.4563701506490818</v>
      </c>
      <c r="J35" s="243">
        <f>$B$24/K51</f>
        <v>1.3045648515578692</v>
      </c>
      <c r="K35" s="243">
        <f>$B$24/L51</f>
        <v>1.1669306919082447</v>
      </c>
      <c r="P35" s="555"/>
    </row>
    <row r="36" spans="1:24" ht="18" customHeight="1" thickBot="1" x14ac:dyDescent="0.35">
      <c r="A36" s="565" t="s">
        <v>740</v>
      </c>
      <c r="B36" s="552">
        <v>9.49</v>
      </c>
      <c r="C36" s="563">
        <v>11.64</v>
      </c>
      <c r="D36" s="552">
        <v>9.57</v>
      </c>
      <c r="E36" s="563">
        <v>16.45</v>
      </c>
      <c r="F36" s="552">
        <v>16.920000000000002</v>
      </c>
      <c r="G36" s="243">
        <f>H69/H63</f>
        <v>17.58468586221213</v>
      </c>
      <c r="H36" s="243">
        <f t="shared" ref="H36:K36" si="0">I69/I63</f>
        <v>14.597831527089351</v>
      </c>
      <c r="I36" s="243">
        <f t="shared" si="0"/>
        <v>12.866356078020052</v>
      </c>
      <c r="J36" s="243">
        <f t="shared" si="0"/>
        <v>11.24420742036626</v>
      </c>
      <c r="K36" s="243">
        <f t="shared" si="0"/>
        <v>9.7451241701545506</v>
      </c>
      <c r="P36" s="553"/>
    </row>
    <row r="37" spans="1:24" ht="15" thickBot="1" x14ac:dyDescent="0.35">
      <c r="A37" s="565" t="s">
        <v>741</v>
      </c>
      <c r="B37" s="552">
        <v>1.33</v>
      </c>
      <c r="C37" s="563">
        <v>1.42</v>
      </c>
      <c r="D37" s="552">
        <v>1.18</v>
      </c>
      <c r="E37" s="563">
        <v>2.77</v>
      </c>
      <c r="F37" s="552">
        <v>2.5499999999999998</v>
      </c>
      <c r="G37" s="243">
        <f>$B$24/H56</f>
        <v>2.1582788993636264</v>
      </c>
      <c r="H37" s="243">
        <f>$B$24/I56</f>
        <v>1.8839599094108366</v>
      </c>
      <c r="I37" s="243">
        <f>$B$24/J56</f>
        <v>1.6393976162591102</v>
      </c>
      <c r="J37" s="243">
        <f>$B$24/K56</f>
        <v>1.4220225751327238</v>
      </c>
      <c r="K37" s="243">
        <f>$B$24/L56</f>
        <v>1.2294387814362813</v>
      </c>
      <c r="P37" s="552"/>
    </row>
    <row r="38" spans="1:24" ht="25.8" x14ac:dyDescent="0.3">
      <c r="A38" s="584" t="s">
        <v>776</v>
      </c>
      <c r="B38" s="561"/>
      <c r="C38" s="575"/>
      <c r="D38" s="561"/>
      <c r="E38" s="575"/>
      <c r="F38" s="561"/>
      <c r="G38" s="574"/>
      <c r="H38" s="243"/>
      <c r="I38" s="243"/>
      <c r="J38" s="243"/>
      <c r="K38" s="243"/>
      <c r="L38" s="243"/>
      <c r="Q38" s="561"/>
    </row>
    <row r="39" spans="1:24" x14ac:dyDescent="0.3">
      <c r="A39" t="s">
        <v>368</v>
      </c>
      <c r="B39" t="s">
        <v>313</v>
      </c>
      <c r="C39" t="s">
        <v>449</v>
      </c>
      <c r="D39" t="s">
        <v>450</v>
      </c>
      <c r="E39" t="s">
        <v>364</v>
      </c>
      <c r="F39" t="s">
        <v>769</v>
      </c>
      <c r="G39" t="s">
        <v>451</v>
      </c>
      <c r="H39" t="s">
        <v>439</v>
      </c>
      <c r="I39" t="s">
        <v>440</v>
      </c>
      <c r="J39" t="s">
        <v>441</v>
      </c>
      <c r="K39" t="s">
        <v>442</v>
      </c>
      <c r="L39" t="s">
        <v>443</v>
      </c>
      <c r="M39" t="s">
        <v>756</v>
      </c>
    </row>
    <row r="40" spans="1:24" x14ac:dyDescent="0.3">
      <c r="A40" t="s">
        <v>715</v>
      </c>
      <c r="H40" s="243">
        <f>profitloss!G46</f>
        <v>74.59972467674848</v>
      </c>
      <c r="I40" s="243">
        <f>profitloss!H46</f>
        <v>98.009710776236687</v>
      </c>
      <c r="J40" s="243">
        <f>profitloss!I46</f>
        <v>115.34276420745842</v>
      </c>
      <c r="K40" s="243">
        <f>profitloss!J46</f>
        <v>136.84502788182439</v>
      </c>
      <c r="L40" s="243">
        <f>profitloss!K46</f>
        <v>163.63238296138456</v>
      </c>
    </row>
    <row r="41" spans="1:24" x14ac:dyDescent="0.3">
      <c r="A41" t="s">
        <v>717</v>
      </c>
      <c r="H41">
        <f>2621</f>
        <v>2621</v>
      </c>
      <c r="I41">
        <f>2621</f>
        <v>2621</v>
      </c>
      <c r="J41">
        <f>2621</f>
        <v>2621</v>
      </c>
      <c r="K41">
        <f>2621</f>
        <v>2621</v>
      </c>
      <c r="L41">
        <f>2621</f>
        <v>2621</v>
      </c>
    </row>
    <row r="42" spans="1:24" x14ac:dyDescent="0.3">
      <c r="A42" t="str">
        <f>A25</f>
        <v>FORWARD P/e</v>
      </c>
      <c r="H42" s="243">
        <f>H41/H40</f>
        <v>35.134177925685066</v>
      </c>
      <c r="I42" s="243">
        <f>I41/I40</f>
        <v>26.742248081763389</v>
      </c>
      <c r="J42" s="243">
        <f>J41/J40</f>
        <v>22.723575405959608</v>
      </c>
      <c r="K42" s="243">
        <f>K41/K40</f>
        <v>19.153052475267305</v>
      </c>
      <c r="L42" s="243">
        <f>L41/L40</f>
        <v>16.017611872208249</v>
      </c>
    </row>
    <row r="43" spans="1:24" x14ac:dyDescent="0.3">
      <c r="F43">
        <v>27</v>
      </c>
      <c r="H43" s="243">
        <f>$F$43*H40</f>
        <v>2014.192566272209</v>
      </c>
      <c r="I43" s="243">
        <f t="shared" ref="I43:L43" si="1">$F$43*I40</f>
        <v>2646.2621909583904</v>
      </c>
      <c r="J43" s="243">
        <f t="shared" si="1"/>
        <v>3114.254633601377</v>
      </c>
      <c r="K43" s="243">
        <f t="shared" si="1"/>
        <v>3694.8157528092588</v>
      </c>
      <c r="L43" s="243">
        <f t="shared" si="1"/>
        <v>4418.074339957383</v>
      </c>
    </row>
    <row r="44" spans="1:24" x14ac:dyDescent="0.3">
      <c r="H44" s="530">
        <f>-PV(14%,1,0,H43,0)</f>
        <v>1766.835584449306</v>
      </c>
      <c r="I44" s="530">
        <f>-PV(14%,2,0,I43,0)</f>
        <v>2036.2128277611494</v>
      </c>
      <c r="J44" s="530">
        <f>-PV(14%,3,0,J43,0)</f>
        <v>2102.0331718810753</v>
      </c>
      <c r="K44" s="530">
        <f>-PV(14%,4,0,K43,0)</f>
        <v>2187.6275357550512</v>
      </c>
      <c r="L44" s="530">
        <f>-PV(14%,5,0,L43,0)</f>
        <v>2294.6093689860381</v>
      </c>
      <c r="M44" s="530">
        <f>AVERAGE(H44:L44)</f>
        <v>2077.4636977665241</v>
      </c>
    </row>
    <row r="45" spans="1:24" x14ac:dyDescent="0.3">
      <c r="H45" s="530"/>
      <c r="I45" s="530"/>
      <c r="J45" s="530"/>
      <c r="K45" s="530"/>
      <c r="L45" s="530"/>
      <c r="M45" s="530"/>
    </row>
    <row r="46" spans="1:24" x14ac:dyDescent="0.3">
      <c r="A46" t="str">
        <f>balancesheet!A32</f>
        <v>Equity Share Capital</v>
      </c>
      <c r="G46" s="243">
        <f>balancesheet!F32</f>
        <v>6765</v>
      </c>
      <c r="H46" s="243">
        <f>balancesheet!G32</f>
        <v>6765</v>
      </c>
      <c r="I46" s="243">
        <f>balancesheet!H32</f>
        <v>6765</v>
      </c>
      <c r="J46" s="243">
        <f>balancesheet!I32</f>
        <v>6765</v>
      </c>
      <c r="K46" s="243">
        <f>balancesheet!J32</f>
        <v>6765</v>
      </c>
      <c r="L46" s="243">
        <f>balancesheet!K32</f>
        <v>6765</v>
      </c>
    </row>
    <row r="47" spans="1:24" ht="20.399999999999999" customHeight="1" thickBot="1" x14ac:dyDescent="0.35">
      <c r="A47" t="str">
        <f>balancesheet!A33</f>
        <v>Other Equity</v>
      </c>
      <c r="G47" s="243">
        <f>balancesheet!F33</f>
        <v>772720</v>
      </c>
      <c r="H47" s="243">
        <f>balancesheet!G33</f>
        <v>864012.9512817529</v>
      </c>
      <c r="I47" s="243">
        <f>balancesheet!H33</f>
        <v>968668.1942680683</v>
      </c>
      <c r="J47" s="243">
        <f>balancesheet!I33</f>
        <v>1084911.4331553697</v>
      </c>
      <c r="K47" s="243">
        <f>balancesheet!J33</f>
        <v>1214341.2177220802</v>
      </c>
      <c r="L47" s="243">
        <f>balancesheet!K33</f>
        <v>1360794.8808003205</v>
      </c>
      <c r="N47" s="537" t="s">
        <v>718</v>
      </c>
      <c r="O47" s="538" t="s">
        <v>719</v>
      </c>
      <c r="P47" s="538" t="s">
        <v>720</v>
      </c>
      <c r="Q47" s="538" t="s">
        <v>721</v>
      </c>
      <c r="R47" s="538" t="s">
        <v>722</v>
      </c>
      <c r="S47" s="538" t="s">
        <v>723</v>
      </c>
      <c r="T47" s="538" t="s">
        <v>724</v>
      </c>
      <c r="U47" s="538" t="s">
        <v>725</v>
      </c>
      <c r="V47" s="538" t="s">
        <v>726</v>
      </c>
      <c r="W47" s="538" t="s">
        <v>727</v>
      </c>
      <c r="X47" s="538" t="s">
        <v>728</v>
      </c>
    </row>
    <row r="48" spans="1:24" ht="16.2" thickBot="1" x14ac:dyDescent="0.35">
      <c r="A48" t="str">
        <f>balancesheet!A34</f>
        <v>Non-Controlling Interest</v>
      </c>
      <c r="G48" s="243">
        <f>balancesheet!F34</f>
        <v>109499</v>
      </c>
      <c r="H48" s="243">
        <f>balancesheet!G34</f>
        <v>119642.6612535281</v>
      </c>
      <c r="I48" s="243">
        <f>balancesheet!H34</f>
        <v>131271.02158534093</v>
      </c>
      <c r="J48" s="243">
        <f>balancesheet!I34</f>
        <v>144186.93701726329</v>
      </c>
      <c r="K48" s="243">
        <f>balancesheet!J34</f>
        <v>158568.02419134224</v>
      </c>
      <c r="L48" s="243">
        <f>balancesheet!K34</f>
        <v>174840.6534222578</v>
      </c>
      <c r="N48" s="539" t="s">
        <v>729</v>
      </c>
      <c r="O48" s="540">
        <v>2621.8</v>
      </c>
      <c r="P48" s="541">
        <v>0.87</v>
      </c>
      <c r="Q48" s="540">
        <v>1773826.56</v>
      </c>
      <c r="R48" s="541">
        <v>26.73</v>
      </c>
      <c r="S48" s="541">
        <v>2.09</v>
      </c>
      <c r="T48" s="541">
        <v>7.78</v>
      </c>
      <c r="U48" s="541">
        <v>15.13</v>
      </c>
      <c r="V48" s="542">
        <v>67565</v>
      </c>
      <c r="W48" s="542">
        <v>699962</v>
      </c>
      <c r="X48" s="541">
        <v>0.34</v>
      </c>
    </row>
    <row r="49" spans="1:24" ht="16.2" thickBot="1" x14ac:dyDescent="0.35">
      <c r="G49" s="243">
        <f>SUM(G46:G48)</f>
        <v>888984</v>
      </c>
      <c r="H49" s="243">
        <f t="shared" ref="H49:L49" si="2">SUM(H46:H48)</f>
        <v>990420.61253528099</v>
      </c>
      <c r="I49" s="243">
        <f t="shared" si="2"/>
        <v>1106704.2158534091</v>
      </c>
      <c r="J49" s="243">
        <f t="shared" si="2"/>
        <v>1235863.3701726331</v>
      </c>
      <c r="K49" s="243">
        <f t="shared" si="2"/>
        <v>1379674.2419134225</v>
      </c>
      <c r="L49" s="243">
        <f t="shared" si="2"/>
        <v>1542400.5342225784</v>
      </c>
      <c r="N49" s="539" t="s">
        <v>730</v>
      </c>
      <c r="O49" s="541">
        <v>145.85</v>
      </c>
      <c r="P49" s="541">
        <v>0.03</v>
      </c>
      <c r="Q49" s="540">
        <v>183483.37</v>
      </c>
      <c r="R49" s="541">
        <v>4.49</v>
      </c>
      <c r="S49" s="541">
        <v>0.9</v>
      </c>
      <c r="T49" s="541">
        <v>17.54</v>
      </c>
      <c r="U49" s="541">
        <v>8.84</v>
      </c>
      <c r="V49" s="542">
        <v>47830</v>
      </c>
      <c r="W49" s="542">
        <v>491269</v>
      </c>
      <c r="X49" s="541">
        <v>0.42</v>
      </c>
    </row>
    <row r="50" spans="1:24" ht="18.600000000000001" customHeight="1" thickBot="1" x14ac:dyDescent="0.35">
      <c r="A50" t="s">
        <v>743</v>
      </c>
      <c r="G50">
        <f>676.5</f>
        <v>676.5</v>
      </c>
      <c r="H50">
        <f t="shared" ref="H50:L50" si="3">676.5</f>
        <v>676.5</v>
      </c>
      <c r="I50">
        <f t="shared" si="3"/>
        <v>676.5</v>
      </c>
      <c r="J50">
        <f t="shared" si="3"/>
        <v>676.5</v>
      </c>
      <c r="K50">
        <f t="shared" si="3"/>
        <v>676.5</v>
      </c>
      <c r="L50">
        <f t="shared" si="3"/>
        <v>676.5</v>
      </c>
      <c r="N50" s="539" t="s">
        <v>731</v>
      </c>
      <c r="O50" s="541">
        <v>213.05</v>
      </c>
      <c r="P50" s="541">
        <v>-0.02</v>
      </c>
      <c r="Q50" s="540">
        <v>31957.5</v>
      </c>
      <c r="R50" s="541">
        <v>9.23</v>
      </c>
      <c r="S50" s="541">
        <v>2.34</v>
      </c>
      <c r="T50" s="541">
        <v>25.15</v>
      </c>
      <c r="U50" s="541">
        <v>0.64</v>
      </c>
      <c r="V50" s="542">
        <v>3339</v>
      </c>
      <c r="W50" s="542">
        <v>43168</v>
      </c>
      <c r="X50" s="541">
        <v>0</v>
      </c>
    </row>
    <row r="51" spans="1:24" ht="16.2" thickBot="1" x14ac:dyDescent="0.35">
      <c r="A51" t="s">
        <v>695</v>
      </c>
      <c r="G51" s="244">
        <f>+G49/G50</f>
        <v>1314.0931263858092</v>
      </c>
      <c r="H51" s="244">
        <f t="shared" ref="H51:L51" si="4">+H49/H50</f>
        <v>1464.0363821659735</v>
      </c>
      <c r="I51" s="244">
        <f t="shared" si="4"/>
        <v>1635.9264092437681</v>
      </c>
      <c r="J51" s="244">
        <f t="shared" si="4"/>
        <v>1826.8490320364126</v>
      </c>
      <c r="K51" s="244">
        <f t="shared" si="4"/>
        <v>2039.4297737079416</v>
      </c>
      <c r="L51" s="244">
        <f t="shared" si="4"/>
        <v>2279.9712257539964</v>
      </c>
      <c r="N51" s="539" t="s">
        <v>732</v>
      </c>
      <c r="O51" s="541">
        <v>210.1</v>
      </c>
      <c r="P51" s="541">
        <v>-0.78</v>
      </c>
      <c r="Q51" s="540">
        <v>22783.35</v>
      </c>
      <c r="R51" s="541">
        <v>2.81</v>
      </c>
      <c r="S51" s="541">
        <v>0.69</v>
      </c>
      <c r="T51" s="541">
        <v>18.39</v>
      </c>
      <c r="U51" s="541">
        <v>21.87</v>
      </c>
      <c r="V51" s="542">
        <v>6607</v>
      </c>
      <c r="W51" s="542">
        <v>25905</v>
      </c>
      <c r="X51" s="541">
        <v>0.54</v>
      </c>
    </row>
    <row r="52" spans="1:24" ht="16.2" thickBot="1" x14ac:dyDescent="0.35">
      <c r="A52" t="s">
        <v>755</v>
      </c>
      <c r="F52" t="s">
        <v>834</v>
      </c>
      <c r="G52" s="244"/>
      <c r="H52" s="243" t="e">
        <f>Table36[[#This Row],[EXPECTED figures]]*H51</f>
        <v>#VALUE!</v>
      </c>
      <c r="I52" s="243" t="e">
        <f>Table36[[#This Row],[EXPECTED figures]]*I51</f>
        <v>#VALUE!</v>
      </c>
      <c r="J52" s="243" t="e">
        <f>Table36[[#This Row],[EXPECTED figures]]*J51</f>
        <v>#VALUE!</v>
      </c>
      <c r="K52" s="243" t="e">
        <f>Table36[[#This Row],[EXPECTED figures]]*K51</f>
        <v>#VALUE!</v>
      </c>
      <c r="L52" s="243" t="e">
        <f>Table36[[#This Row],[EXPECTED figures]]*L51</f>
        <v>#VALUE!</v>
      </c>
      <c r="N52" s="539" t="s">
        <v>733</v>
      </c>
      <c r="O52" s="541">
        <v>140.94999999999999</v>
      </c>
      <c r="P52" s="541">
        <v>0.14000000000000001</v>
      </c>
      <c r="Q52" s="540">
        <v>1863.97</v>
      </c>
      <c r="R52" s="541">
        <v>44.32</v>
      </c>
      <c r="S52" s="541">
        <v>2.4700000000000002</v>
      </c>
      <c r="T52" s="541">
        <v>2.65</v>
      </c>
      <c r="U52" s="541">
        <v>-15.5</v>
      </c>
      <c r="V52" s="541">
        <v>20</v>
      </c>
      <c r="W52" s="541">
        <v>155</v>
      </c>
      <c r="X52" s="541">
        <v>0.47</v>
      </c>
    </row>
    <row r="53" spans="1:24" ht="15.6" x14ac:dyDescent="0.3">
      <c r="H53" s="530" t="e">
        <f>-PV(14%,1,0,H52,0)</f>
        <v>#VALUE!</v>
      </c>
      <c r="I53" s="530" t="e">
        <f>-PV(14%,2,0,I52,0)</f>
        <v>#VALUE!</v>
      </c>
      <c r="J53" s="530" t="e">
        <f>-PV(14%,3,0,J52,0)</f>
        <v>#VALUE!</v>
      </c>
      <c r="K53" s="530" t="e">
        <f>-PV(14%,4,0,K52,0)</f>
        <v>#VALUE!</v>
      </c>
      <c r="L53" s="530" t="e">
        <f>-PV(14%,5,0,L52,0)</f>
        <v>#VALUE!</v>
      </c>
      <c r="M53" s="530" t="e">
        <f>AVERAGE(H53:L53)</f>
        <v>#VALUE!</v>
      </c>
      <c r="N53" s="557"/>
      <c r="O53" s="558"/>
      <c r="P53" s="558"/>
      <c r="Q53" s="559"/>
      <c r="R53" s="558"/>
      <c r="S53" s="558"/>
      <c r="T53" s="558"/>
      <c r="U53" s="558"/>
      <c r="V53" s="558"/>
      <c r="W53" s="558"/>
      <c r="X53" s="558"/>
    </row>
    <row r="54" spans="1:24" x14ac:dyDescent="0.3">
      <c r="H54" s="530"/>
      <c r="I54" s="530"/>
      <c r="J54" s="530"/>
      <c r="K54" s="530"/>
      <c r="L54" s="530"/>
    </row>
    <row r="55" spans="1:24" x14ac:dyDescent="0.3">
      <c r="A55" t="s">
        <v>744</v>
      </c>
      <c r="G55" s="180">
        <f>profitloss!F7</f>
        <v>721634</v>
      </c>
      <c r="H55" s="180">
        <f>profitloss!G7</f>
        <v>833939.73</v>
      </c>
      <c r="I55" s="180">
        <f>profitloss!H7</f>
        <v>955367.74090000009</v>
      </c>
      <c r="J55" s="180">
        <f>profitloss!I7</f>
        <v>1097887.7270220001</v>
      </c>
      <c r="K55" s="180">
        <f>profitloss!J7</f>
        <v>1265714.4507231254</v>
      </c>
      <c r="L55" s="180">
        <f>profitloss!K7</f>
        <v>1463980.5981208044</v>
      </c>
    </row>
    <row r="56" spans="1:24" x14ac:dyDescent="0.3">
      <c r="A56" t="s">
        <v>745</v>
      </c>
      <c r="H56" s="243">
        <f>H55/H50</f>
        <v>1232.7268736141907</v>
      </c>
      <c r="I56" s="243">
        <f>I55/I50</f>
        <v>1412.2213464892832</v>
      </c>
      <c r="J56" s="243">
        <f>J55/J50</f>
        <v>1622.8939054279381</v>
      </c>
      <c r="K56" s="243">
        <f>K55/K50</f>
        <v>1870.9747978168889</v>
      </c>
      <c r="L56" s="243">
        <f>L55/L50</f>
        <v>2164.0511428245445</v>
      </c>
    </row>
    <row r="57" spans="1:24" x14ac:dyDescent="0.3">
      <c r="F57">
        <v>2.66</v>
      </c>
      <c r="H57" s="243">
        <f>Table36[[#This Row],[EXPECTED figures]]*H56</f>
        <v>3279.0534838137473</v>
      </c>
      <c r="I57" s="243">
        <f>Table36[[#This Row],[EXPECTED figures]]*I56</f>
        <v>3756.5087816614932</v>
      </c>
      <c r="J57" s="243">
        <f>Table36[[#This Row],[EXPECTED figures]]*J56</f>
        <v>4316.8977884383157</v>
      </c>
      <c r="K57" s="243">
        <f>Table36[[#This Row],[EXPECTED figures]]*K56</f>
        <v>4976.7929621929243</v>
      </c>
      <c r="L57" s="243">
        <f>Table36[[#This Row],[EXPECTED figures]]*L56</f>
        <v>5756.3760399132889</v>
      </c>
    </row>
    <row r="58" spans="1:24" x14ac:dyDescent="0.3">
      <c r="A58" t="s">
        <v>746</v>
      </c>
      <c r="H58" s="530">
        <f>-PV(14%,1,0,H57,0)</f>
        <v>2876.3627050997779</v>
      </c>
      <c r="I58" s="530">
        <f>-PV(14%,2,0,I57,0)</f>
        <v>2890.5115279020411</v>
      </c>
      <c r="J58" s="530">
        <f>-PV(14%,3,0,J57,0)</f>
        <v>2913.7830455513399</v>
      </c>
      <c r="K58" s="530">
        <f>-PV(14%,4,0,K57,0)</f>
        <v>2946.6609574691934</v>
      </c>
      <c r="L58" s="530">
        <f>-PV(14%,5,0,L57,0)</f>
        <v>2989.6813354026076</v>
      </c>
      <c r="M58" s="530">
        <f>AVERAGE(H58:L58)</f>
        <v>2923.3999142849921</v>
      </c>
    </row>
    <row r="60" spans="1:24" x14ac:dyDescent="0.3">
      <c r="A60" t="s">
        <v>747</v>
      </c>
      <c r="B60" s="180"/>
      <c r="C60" s="180"/>
      <c r="D60" s="180" t="str">
        <f>profitloss!C24</f>
        <v>55,227</v>
      </c>
      <c r="E60" s="180">
        <f>profitloss!D24</f>
        <v>53606</v>
      </c>
      <c r="F60" s="180">
        <f>profitloss!E24</f>
        <v>55461</v>
      </c>
      <c r="G60" s="180">
        <f>profitloss!F24</f>
        <v>84142</v>
      </c>
      <c r="H60" s="180">
        <f>profitloss!G24</f>
        <v>74765.501842696802</v>
      </c>
      <c r="I60" s="180">
        <f>profitloss!H24</f>
        <v>98227.510133517208</v>
      </c>
      <c r="J60" s="180">
        <f>profitloss!I24</f>
        <v>115599.08146125276</v>
      </c>
      <c r="K60" s="180">
        <f>profitloss!J24</f>
        <v>137149.127943784</v>
      </c>
      <c r="L60" s="180">
        <f>profitloss!K24</f>
        <v>163996.01047907653</v>
      </c>
    </row>
    <row r="61" spans="1:24" x14ac:dyDescent="0.3">
      <c r="A61" t="s">
        <v>748</v>
      </c>
      <c r="D61" s="180">
        <f>profitloss!C16</f>
        <v>16495</v>
      </c>
      <c r="E61" s="180">
        <f>profitloss!D16</f>
        <v>22027</v>
      </c>
      <c r="F61" s="180">
        <f>profitloss!E16</f>
        <v>21189</v>
      </c>
      <c r="G61" s="180">
        <f>profitloss!F16</f>
        <v>14584</v>
      </c>
      <c r="H61" s="180">
        <f>profitloss!G16</f>
        <v>21032.866832842112</v>
      </c>
      <c r="I61" s="180">
        <f>profitloss!H16</f>
        <v>23300.254600542561</v>
      </c>
      <c r="J61" s="180">
        <f>profitloss!I16</f>
        <v>26097.979032518473</v>
      </c>
      <c r="K61" s="180">
        <f>profitloss!J16</f>
        <v>29420.893257005406</v>
      </c>
      <c r="L61" s="180">
        <f>profitloss!K16</f>
        <v>33348.724629856777</v>
      </c>
    </row>
    <row r="62" spans="1:24" x14ac:dyDescent="0.3">
      <c r="A62" t="s">
        <v>749</v>
      </c>
      <c r="D62" s="180">
        <f>profitloss!C17</f>
        <v>20934</v>
      </c>
      <c r="E62" s="180">
        <f>profitloss!D17</f>
        <v>22203</v>
      </c>
      <c r="F62" s="180">
        <f>profitloss!E17</f>
        <v>26572</v>
      </c>
      <c r="G62" s="180">
        <f>profitloss!F17</f>
        <v>29797</v>
      </c>
      <c r="H62" s="180">
        <f>profitloss!G17</f>
        <v>35113.251789473688</v>
      </c>
      <c r="I62" s="180">
        <f>profitloss!H17</f>
        <v>36394.961558095238</v>
      </c>
      <c r="J62" s="180">
        <f>profitloss!I17</f>
        <v>38187.399200765227</v>
      </c>
      <c r="K62" s="180">
        <f>profitloss!J17</f>
        <v>40502.86242314001</v>
      </c>
      <c r="L62" s="180">
        <f>profitloss!K17</f>
        <v>43377.202907283092</v>
      </c>
    </row>
    <row r="63" spans="1:24" x14ac:dyDescent="0.3">
      <c r="A63" t="s">
        <v>750</v>
      </c>
      <c r="D63" s="180">
        <f t="shared" ref="D63:F63" si="5">SUM(D60:D62)</f>
        <v>37429</v>
      </c>
      <c r="E63" s="180">
        <f t="shared" si="5"/>
        <v>97836</v>
      </c>
      <c r="F63" s="180">
        <f t="shared" si="5"/>
        <v>103222</v>
      </c>
      <c r="G63" s="180">
        <f>SUM(G60:G62)</f>
        <v>128523</v>
      </c>
      <c r="H63" s="180">
        <f t="shared" ref="H63:L63" si="6">SUM(H60:H62)</f>
        <v>130911.62046501262</v>
      </c>
      <c r="I63" s="180">
        <f t="shared" si="6"/>
        <v>157922.72629215501</v>
      </c>
      <c r="J63" s="180">
        <f t="shared" si="6"/>
        <v>179884.45969453646</v>
      </c>
      <c r="K63" s="180">
        <f t="shared" si="6"/>
        <v>207072.8836239294</v>
      </c>
      <c r="L63" s="180">
        <f t="shared" si="6"/>
        <v>240721.93801621639</v>
      </c>
    </row>
    <row r="65" spans="1:12" x14ac:dyDescent="0.3">
      <c r="A65" t="s">
        <v>751</v>
      </c>
    </row>
    <row r="66" spans="1:12" x14ac:dyDescent="0.3">
      <c r="A66" t="s">
        <v>752</v>
      </c>
      <c r="G66" s="556">
        <v>1773826</v>
      </c>
      <c r="H66" s="556">
        <f>1773826*(1+$G$87)</f>
        <v>2075376.42</v>
      </c>
      <c r="I66" s="556">
        <f t="shared" ref="I66:L66" si="7">1773826*(1+$G$87)</f>
        <v>2075376.42</v>
      </c>
      <c r="J66" s="556">
        <f t="shared" si="7"/>
        <v>2075376.42</v>
      </c>
      <c r="K66" s="556">
        <f t="shared" si="7"/>
        <v>2075376.42</v>
      </c>
      <c r="L66" s="556">
        <f t="shared" si="7"/>
        <v>2075376.42</v>
      </c>
    </row>
    <row r="67" spans="1:12" x14ac:dyDescent="0.3">
      <c r="A67" t="s">
        <v>753</v>
      </c>
      <c r="D67">
        <f>debt!B7</f>
        <v>236913</v>
      </c>
      <c r="E67">
        <f>debt!C7</f>
        <v>235739</v>
      </c>
      <c r="F67">
        <f>debt!D7</f>
        <v>204586</v>
      </c>
      <c r="G67">
        <f>debt!E7</f>
        <v>250522</v>
      </c>
      <c r="H67" s="243">
        <f>debt!B38</f>
        <v>275299.67082105268</v>
      </c>
      <c r="I67" s="243">
        <f>debt!C38</f>
        <v>307206.69419251132</v>
      </c>
      <c r="J67" s="243">
        <f>debt!D38</f>
        <v>345242.78162045055</v>
      </c>
      <c r="K67" s="243">
        <f>debt!E38</f>
        <v>390279.54980468459</v>
      </c>
      <c r="L67" s="243">
        <f>debt!F38</f>
        <v>443438.56594173488</v>
      </c>
    </row>
    <row r="68" spans="1:12" x14ac:dyDescent="0.3">
      <c r="A68" t="s">
        <v>754</v>
      </c>
      <c r="D68" s="243">
        <f>balancesheet!C23</f>
        <v>11081</v>
      </c>
      <c r="E68" s="243">
        <f>balancesheet!D23</f>
        <v>30920</v>
      </c>
      <c r="F68" s="243">
        <f>balancesheet!E23</f>
        <v>17397</v>
      </c>
      <c r="G68" s="243">
        <f>balancesheet!F23</f>
        <v>36178</v>
      </c>
      <c r="H68" s="243">
        <f>balancesheet!G23</f>
        <v>48636.36923066491</v>
      </c>
      <c r="I68" s="243">
        <f>balancesheet!H23</f>
        <v>77253.761480988614</v>
      </c>
      <c r="J68" s="243">
        <f>balancesheet!I23</f>
        <v>106161.69028829788</v>
      </c>
      <c r="K68" s="243">
        <f>balancesheet!J23</f>
        <v>137285.51520385881</v>
      </c>
      <c r="L68" s="243">
        <f>balancesheet!K23</f>
        <v>172949.80949345886</v>
      </c>
    </row>
    <row r="69" spans="1:12" x14ac:dyDescent="0.3">
      <c r="A69" t="str">
        <f>A65</f>
        <v>Enterprise value</v>
      </c>
      <c r="D69" s="251">
        <f t="shared" ref="D69" si="8">D66+D67-D68</f>
        <v>225832</v>
      </c>
      <c r="E69" s="251">
        <f t="shared" ref="E69" si="9">E66+E67-E68</f>
        <v>204819</v>
      </c>
      <c r="F69" s="251">
        <f t="shared" ref="F69" si="10">F66+F67-F68</f>
        <v>187189</v>
      </c>
      <c r="G69" s="251">
        <f t="shared" ref="G69:L69" si="11">G66+G67-G68</f>
        <v>1988170</v>
      </c>
      <c r="H69" s="251">
        <f t="shared" si="11"/>
        <v>2302039.7215903876</v>
      </c>
      <c r="I69" s="251">
        <f t="shared" si="11"/>
        <v>2305329.352711523</v>
      </c>
      <c r="J69" s="251">
        <f t="shared" si="11"/>
        <v>2314457.5113321524</v>
      </c>
      <c r="K69" s="251">
        <f t="shared" si="11"/>
        <v>2328370.4546008259</v>
      </c>
      <c r="L69" s="251">
        <f t="shared" si="11"/>
        <v>2345865.1764482758</v>
      </c>
    </row>
    <row r="72" spans="1:12" x14ac:dyDescent="0.3">
      <c r="A72" t="s">
        <v>368</v>
      </c>
      <c r="B72" t="s">
        <v>313</v>
      </c>
      <c r="C72" t="s">
        <v>449</v>
      </c>
      <c r="D72" t="s">
        <v>450</v>
      </c>
      <c r="E72" t="s">
        <v>364</v>
      </c>
      <c r="F72" t="s">
        <v>451</v>
      </c>
      <c r="G72" s="560" t="s">
        <v>117</v>
      </c>
      <c r="H72" s="199" t="s">
        <v>439</v>
      </c>
      <c r="I72" s="199" t="s">
        <v>440</v>
      </c>
      <c r="J72" s="560"/>
    </row>
    <row r="73" spans="1:12" x14ac:dyDescent="0.3">
      <c r="A73" t="str">
        <f>A69</f>
        <v>Enterprise value</v>
      </c>
      <c r="G73" s="251">
        <f>G69</f>
        <v>1988170</v>
      </c>
      <c r="H73" s="251">
        <f t="shared" ref="H73:I73" si="12">H69</f>
        <v>2302039.7215903876</v>
      </c>
      <c r="I73" s="251">
        <f t="shared" si="12"/>
        <v>2305329.352711523</v>
      </c>
      <c r="J73" s="251"/>
    </row>
    <row r="74" spans="1:12" x14ac:dyDescent="0.3">
      <c r="A74" t="s">
        <v>770</v>
      </c>
      <c r="G74">
        <f>G67</f>
        <v>250522</v>
      </c>
      <c r="H74">
        <f t="shared" ref="H74:I74" si="13">H67</f>
        <v>275299.67082105268</v>
      </c>
      <c r="I74">
        <f t="shared" si="13"/>
        <v>307206.69419251132</v>
      </c>
    </row>
    <row r="75" spans="1:12" x14ac:dyDescent="0.3">
      <c r="A75" t="s">
        <v>771</v>
      </c>
      <c r="G75" s="251">
        <f>+G73-G74</f>
        <v>1737648</v>
      </c>
      <c r="H75" s="251">
        <f t="shared" ref="H75:I75" si="14">+H73-H74</f>
        <v>2026740.0507693349</v>
      </c>
      <c r="I75" s="251">
        <f t="shared" si="14"/>
        <v>1998122.6585190117</v>
      </c>
    </row>
    <row r="76" spans="1:12" x14ac:dyDescent="0.3">
      <c r="A76" t="s">
        <v>691</v>
      </c>
      <c r="G76">
        <v>676.5</v>
      </c>
      <c r="H76">
        <v>676.5</v>
      </c>
      <c r="I76">
        <v>676.5</v>
      </c>
    </row>
    <row r="77" spans="1:12" x14ac:dyDescent="0.3">
      <c r="A77" t="s">
        <v>772</v>
      </c>
      <c r="G77" s="243">
        <f>+G75/G76</f>
        <v>2568.5853658536585</v>
      </c>
      <c r="H77" s="243">
        <f t="shared" ref="H77:I77" si="15">+H75/H76</f>
        <v>2995.9202524306502</v>
      </c>
      <c r="I77" s="243">
        <f t="shared" si="15"/>
        <v>2953.6181205011258</v>
      </c>
    </row>
    <row r="78" spans="1:12" x14ac:dyDescent="0.3">
      <c r="A78" t="s">
        <v>773</v>
      </c>
      <c r="H78" s="572">
        <f>-PV(14%,1,0,H77,0)</f>
        <v>2628.0002214303945</v>
      </c>
      <c r="I78" s="573">
        <f>-PV(14%,2,0,I77,0)</f>
        <v>2272.7132352270892</v>
      </c>
    </row>
    <row r="79" spans="1:12" x14ac:dyDescent="0.3">
      <c r="H79" s="530"/>
      <c r="I79" s="576"/>
    </row>
    <row r="80" spans="1:12" x14ac:dyDescent="0.3">
      <c r="H80" s="530"/>
      <c r="I80" s="576"/>
    </row>
    <row r="81" spans="1:11" x14ac:dyDescent="0.3">
      <c r="A81" t="s">
        <v>784</v>
      </c>
      <c r="B81" t="s">
        <v>313</v>
      </c>
      <c r="C81" t="s">
        <v>449</v>
      </c>
      <c r="D81" t="s">
        <v>114</v>
      </c>
      <c r="E81" t="s">
        <v>115</v>
      </c>
      <c r="F81" t="s">
        <v>116</v>
      </c>
      <c r="G81" t="s">
        <v>117</v>
      </c>
      <c r="H81" s="530"/>
      <c r="I81" s="576"/>
    </row>
    <row r="82" spans="1:11" x14ac:dyDescent="0.3">
      <c r="A82" t="s">
        <v>717</v>
      </c>
      <c r="D82">
        <v>1357</v>
      </c>
      <c r="E82">
        <v>1067</v>
      </c>
      <c r="F82">
        <f>2050</f>
        <v>2050</v>
      </c>
      <c r="G82">
        <v>2615</v>
      </c>
    </row>
    <row r="83" spans="1:11" x14ac:dyDescent="0.3">
      <c r="A83" t="s">
        <v>782</v>
      </c>
      <c r="D83">
        <f>balancesheet!C32</f>
        <v>5926</v>
      </c>
      <c r="E83">
        <f>balancesheet!D32</f>
        <v>6339</v>
      </c>
      <c r="F83">
        <f>balancesheet!E32</f>
        <v>6445</v>
      </c>
      <c r="G83">
        <f>balancesheet!F32</f>
        <v>6765</v>
      </c>
    </row>
    <row r="84" spans="1:11" x14ac:dyDescent="0.3">
      <c r="A84" t="s">
        <v>691</v>
      </c>
      <c r="D84">
        <f>+D83/10</f>
        <v>592.6</v>
      </c>
      <c r="E84">
        <f t="shared" ref="E84:G84" si="16">+E83/10</f>
        <v>633.9</v>
      </c>
      <c r="F84">
        <f t="shared" si="16"/>
        <v>644.5</v>
      </c>
      <c r="G84">
        <f t="shared" si="16"/>
        <v>676.5</v>
      </c>
    </row>
    <row r="85" spans="1:11" x14ac:dyDescent="0.3">
      <c r="A85" t="s">
        <v>783</v>
      </c>
      <c r="D85">
        <f>+D84*D82</f>
        <v>804158.20000000007</v>
      </c>
      <c r="E85">
        <f t="shared" ref="E85:G85" si="17">+E84*E82</f>
        <v>676371.29999999993</v>
      </c>
      <c r="F85">
        <f t="shared" si="17"/>
        <v>1321225</v>
      </c>
      <c r="G85">
        <f t="shared" si="17"/>
        <v>1769047.5</v>
      </c>
    </row>
    <row r="86" spans="1:11" x14ac:dyDescent="0.3">
      <c r="E86" s="182">
        <f>+E85/D85-1</f>
        <v>-0.15890766269622092</v>
      </c>
      <c r="F86" s="182">
        <f t="shared" ref="F86:G86" si="18">+F85/E85-1</f>
        <v>0.95340192583570604</v>
      </c>
      <c r="G86" s="182">
        <f t="shared" si="18"/>
        <v>0.33894491854150499</v>
      </c>
    </row>
    <row r="87" spans="1:11" x14ac:dyDescent="0.3">
      <c r="G87" s="189">
        <v>0.17</v>
      </c>
    </row>
    <row r="90" spans="1:11" ht="15" thickBot="1" x14ac:dyDescent="0.35"/>
    <row r="91" spans="1:11" ht="15" thickBot="1" x14ac:dyDescent="0.35">
      <c r="A91" s="587"/>
      <c r="B91" s="549"/>
      <c r="C91" s="549"/>
      <c r="D91" s="549"/>
      <c r="E91" s="549"/>
      <c r="F91" s="549"/>
      <c r="G91" s="549"/>
    </row>
    <row r="92" spans="1:11" ht="16.2" thickBot="1" x14ac:dyDescent="0.35">
      <c r="A92" s="588" t="s">
        <v>816</v>
      </c>
      <c r="B92" s="589">
        <v>43160</v>
      </c>
      <c r="C92" s="589">
        <v>43525</v>
      </c>
      <c r="D92" s="589">
        <v>43891</v>
      </c>
      <c r="E92" s="589">
        <v>44256</v>
      </c>
      <c r="F92" s="589">
        <v>44621</v>
      </c>
      <c r="G92" s="589">
        <v>44986</v>
      </c>
      <c r="H92" s="589">
        <v>45352</v>
      </c>
      <c r="I92" s="589">
        <v>45717</v>
      </c>
      <c r="J92" s="589">
        <v>46082</v>
      </c>
      <c r="K92" s="589">
        <v>46447</v>
      </c>
    </row>
    <row r="93" spans="1:11" ht="16.2" thickBot="1" x14ac:dyDescent="0.35">
      <c r="A93" s="594" t="s">
        <v>817</v>
      </c>
      <c r="B93" s="591">
        <v>12.29</v>
      </c>
      <c r="C93" s="591">
        <v>10.220000000000001</v>
      </c>
      <c r="D93" s="591">
        <v>8.76</v>
      </c>
      <c r="E93" s="591">
        <v>7.01</v>
      </c>
      <c r="F93" s="591">
        <v>7.78</v>
      </c>
      <c r="G93" s="194">
        <f>profitloss!G35/(balancesheet!G32+balancesheet!G33+balancesheet!G34+balancesheet!G38+balancesheet!G39+balancesheet!G41)</f>
        <v>8.8825874859436452E-2</v>
      </c>
      <c r="H93" s="194">
        <f>profitloss!H35/(balancesheet!H32+balancesheet!H33+balancesheet!H34+balancesheet!H38+balancesheet!H39+balancesheet!H41)</f>
        <v>9.086156247870357E-2</v>
      </c>
      <c r="I93" s="194">
        <f>profitloss!I35/(balancesheet!I32+balancesheet!I33+balancesheet!I34+balancesheet!I38+balancesheet!I39+balancesheet!I41)</f>
        <v>8.9988801639760377E-2</v>
      </c>
      <c r="J93" s="194">
        <f>profitloss!J35/(balancesheet!J32+balancesheet!J33+balancesheet!J34+balancesheet!J38+balancesheet!J39+balancesheet!J41)</f>
        <v>8.9273141367897227E-2</v>
      </c>
      <c r="K93" s="194">
        <f>profitloss!K35/(balancesheet!K32+balancesheet!K33+balancesheet!K34+balancesheet!K38+balancesheet!K39+balancesheet!K41)</f>
        <v>8.9820563109421173E-2</v>
      </c>
    </row>
    <row r="94" spans="1:11" ht="16.2" thickBot="1" x14ac:dyDescent="0.35">
      <c r="A94" s="590" t="s">
        <v>818</v>
      </c>
      <c r="B94" s="591">
        <v>11.42</v>
      </c>
      <c r="C94" s="591">
        <v>10.45</v>
      </c>
      <c r="D94" s="591">
        <v>10.62</v>
      </c>
      <c r="E94" s="591">
        <v>6.75</v>
      </c>
      <c r="F94" s="591">
        <v>8.02</v>
      </c>
      <c r="G94" s="194">
        <f>profitloss!G35/(balancesheet!G32+balancesheet!G33+balancesheet!G34)</f>
        <v>0.11012657148039437</v>
      </c>
      <c r="H94" s="194">
        <f>profitloss!H35/(balancesheet!H32+balancesheet!H33+balancesheet!H34)</f>
        <v>0.11298062373758937</v>
      </c>
      <c r="I94" s="194">
        <f>profitloss!I35/(balancesheet!I32+balancesheet!I33+balancesheet!I34)</f>
        <v>0.11237553798243881</v>
      </c>
      <c r="J94" s="194">
        <f>profitloss!J35/(balancesheet!J32+balancesheet!J33+balancesheet!J34)</f>
        <v>0.11208105599143432</v>
      </c>
      <c r="K94" s="194">
        <f>profitloss!K35/(balancesheet!K32+balancesheet!K33+balancesheet!K34)</f>
        <v>0.11344297669573904</v>
      </c>
    </row>
    <row r="95" spans="1:11" ht="16.2" thickBot="1" x14ac:dyDescent="0.35">
      <c r="A95" s="592" t="s">
        <v>819</v>
      </c>
      <c r="B95" s="593">
        <v>4.41</v>
      </c>
      <c r="C95" s="593">
        <v>3.94</v>
      </c>
      <c r="D95" s="593">
        <v>3.37</v>
      </c>
      <c r="E95" s="593">
        <v>3.71</v>
      </c>
      <c r="F95" s="593">
        <v>4.04</v>
      </c>
      <c r="G95" s="194">
        <f>profitloss!G35/balancesheet!G29</f>
        <v>6.6855737134301013E-2</v>
      </c>
      <c r="H95" s="194">
        <f>profitloss!H35/balancesheet!H29</f>
        <v>6.9184063223074146E-2</v>
      </c>
      <c r="I95" s="194">
        <f>profitloss!I35/balancesheet!I29</f>
        <v>6.9363199171372736E-2</v>
      </c>
      <c r="J95" s="194">
        <f>profitloss!J35/balancesheet!J29</f>
        <v>6.9464613062778277E-2</v>
      </c>
      <c r="K95" s="194">
        <f>profitloss!K35/balancesheet!K29</f>
        <v>7.0492189070309783E-2</v>
      </c>
    </row>
  </sheetData>
  <mergeCells count="2">
    <mergeCell ref="A12:G12"/>
    <mergeCell ref="H12:O12"/>
  </mergeCells>
  <hyperlinks>
    <hyperlink ref="N48" r:id="rId1" tooltip="Reliance" display="https://www.moneycontrol.com/india/stockpricequote/refineries/relianceindustries/RI" xr:uid="{FF286BA8-38F9-4AB1-984A-44F2296B7A42}"/>
    <hyperlink ref="N49" r:id="rId2" tooltip="ONGC" display="https://www.moneycontrol.com/india/stockpricequote/oil-drilling-exploration/oilnaturalgascorporation/ONG" xr:uid="{E526C29D-CBCC-4F08-A3AF-7665C923FBF4}"/>
    <hyperlink ref="N50" r:id="rId3" tooltip="Petronet LNG" display="https://www.moneycontrol.com/india/stockpricequote/oil-drilling-exploration/petronetlng/PLN" xr:uid="{3735547C-29CB-42F7-BE14-4842DCAB589B}"/>
    <hyperlink ref="N51" r:id="rId4" tooltip="Oil India" display="https://www.moneycontrol.com/india/stockpricequote/oil-drilling-exploration/oilindia/OI13" xr:uid="{3389404E-81E0-449C-964E-64E2AEFD7817}"/>
    <hyperlink ref="N52" r:id="rId5" tooltip="HOEC" display="https://www.moneycontrol.com/india/stockpricequote/oil-drilling-exploration/hindustanoilexplorationcompany/HOE01" xr:uid="{1DCEAC0B-43F9-410E-AC7D-E8B114CC05B4}"/>
  </hyperlinks>
  <pageMargins left="0.7" right="0.7" top="0.75" bottom="0.75" header="0.3" footer="0.3"/>
  <pageSetup orientation="portrait" r:id="rId6"/>
  <drawing r:id="rId7"/>
  <tableParts count="6">
    <tablePart r:id="rId8"/>
    <tablePart r:id="rId9"/>
    <tablePart r:id="rId10"/>
    <tablePart r:id="rId11"/>
    <tablePart r:id="rId12"/>
    <tablePart r:id="rId1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C078C-B80E-4EF6-86D8-BAB4C77E7644}">
  <dimension ref="A1:K63"/>
  <sheetViews>
    <sheetView topLeftCell="A15" workbookViewId="0">
      <selection activeCell="M26" sqref="M26"/>
    </sheetView>
  </sheetViews>
  <sheetFormatPr defaultRowHeight="14.4" x14ac:dyDescent="0.3"/>
  <cols>
    <col min="1" max="1" width="52.109375" style="9" bestFit="1" customWidth="1"/>
    <col min="2" max="2" width="8.88671875" style="9"/>
    <col min="3" max="3" width="12.6640625" style="9" customWidth="1"/>
    <col min="4" max="4" width="13" style="9" customWidth="1"/>
    <col min="5" max="5" width="11.77734375" style="9" customWidth="1"/>
    <col min="6" max="6" width="14.44140625" style="9" customWidth="1"/>
    <col min="7" max="7" width="17.6640625" bestFit="1" customWidth="1"/>
    <col min="8" max="11" width="13.77734375" bestFit="1" customWidth="1"/>
  </cols>
  <sheetData>
    <row r="1" spans="1:11" ht="36.6" x14ac:dyDescent="0.7">
      <c r="A1" s="8" t="s">
        <v>113</v>
      </c>
    </row>
    <row r="2" spans="1:11" ht="48" x14ac:dyDescent="0.4">
      <c r="A2" s="10" t="s">
        <v>112</v>
      </c>
      <c r="B2" s="4" t="s">
        <v>0</v>
      </c>
      <c r="C2" s="11" t="s">
        <v>1</v>
      </c>
      <c r="D2" s="12" t="s">
        <v>2</v>
      </c>
      <c r="E2" s="13" t="s">
        <v>3</v>
      </c>
      <c r="F2" s="14" t="s">
        <v>4</v>
      </c>
      <c r="G2" s="14" t="s">
        <v>537</v>
      </c>
      <c r="H2" s="14" t="s">
        <v>538</v>
      </c>
      <c r="I2" s="14" t="s">
        <v>539</v>
      </c>
      <c r="J2" s="14" t="s">
        <v>540</v>
      </c>
      <c r="K2" s="14" t="s">
        <v>541</v>
      </c>
    </row>
    <row r="3" spans="1:11" ht="18" x14ac:dyDescent="0.35">
      <c r="A3" s="2" t="s">
        <v>5</v>
      </c>
      <c r="B3" s="2" t="s">
        <v>6</v>
      </c>
      <c r="C3" s="2"/>
      <c r="D3" s="15"/>
      <c r="E3" s="16"/>
      <c r="F3" s="17"/>
      <c r="G3" s="17"/>
      <c r="H3" s="17"/>
      <c r="I3" s="17"/>
      <c r="J3" s="17"/>
      <c r="K3" s="17"/>
    </row>
    <row r="4" spans="1:11" ht="18" x14ac:dyDescent="0.35">
      <c r="A4" s="2" t="s">
        <v>7</v>
      </c>
      <c r="B4" s="3" t="s">
        <v>6</v>
      </c>
      <c r="C4" s="3"/>
      <c r="D4" s="18"/>
      <c r="E4" s="19"/>
      <c r="F4" s="17"/>
      <c r="G4" s="17"/>
      <c r="H4" s="17"/>
      <c r="I4" s="17"/>
      <c r="J4" s="17"/>
      <c r="K4" s="17"/>
    </row>
    <row r="5" spans="1:11" ht="15.6" x14ac:dyDescent="0.3">
      <c r="A5" s="4" t="s">
        <v>8</v>
      </c>
      <c r="B5" s="4" t="s">
        <v>9</v>
      </c>
      <c r="C5" s="4">
        <v>302115</v>
      </c>
      <c r="D5" s="21">
        <v>435920</v>
      </c>
      <c r="E5" s="22">
        <v>451066</v>
      </c>
      <c r="F5" s="23">
        <v>500454</v>
      </c>
      <c r="G5" s="273">
        <f>SUM(PPE!H79:H80)</f>
        <v>542938.65579473693</v>
      </c>
      <c r="H5" s="273">
        <f>SUM(PPE!I79:I80)</f>
        <v>562757.09309204773</v>
      </c>
      <c r="I5" s="273">
        <f>SUM(PPE!J79:J80)</f>
        <v>590472.66014183231</v>
      </c>
      <c r="J5" s="273">
        <f>SUM(PPE!K79:K80)</f>
        <v>626275.51021780248</v>
      </c>
      <c r="K5" s="273">
        <f>SUM(PPE!L79:L80)</f>
        <v>670719.99995386484</v>
      </c>
    </row>
    <row r="6" spans="1:11" ht="15.6" x14ac:dyDescent="0.3">
      <c r="A6" s="4" t="s">
        <v>10</v>
      </c>
      <c r="B6" s="4" t="s">
        <v>9</v>
      </c>
      <c r="C6" s="4">
        <v>150178</v>
      </c>
      <c r="D6" s="21">
        <v>59096</v>
      </c>
      <c r="E6" s="24">
        <v>71171</v>
      </c>
      <c r="F6" s="25">
        <v>68052</v>
      </c>
      <c r="G6" s="272">
        <v>70620</v>
      </c>
      <c r="H6" s="272">
        <f>70620+13530</f>
        <v>84150</v>
      </c>
      <c r="I6" s="272">
        <v>84150</v>
      </c>
      <c r="J6" s="272">
        <v>100620</v>
      </c>
      <c r="K6" s="272">
        <v>100620</v>
      </c>
    </row>
    <row r="7" spans="1:11" ht="15.6" x14ac:dyDescent="0.3">
      <c r="A7" s="4" t="s">
        <v>11</v>
      </c>
      <c r="B7" s="4"/>
      <c r="C7" s="4">
        <v>11997</v>
      </c>
      <c r="D7" s="21">
        <v>10259</v>
      </c>
      <c r="E7" s="24">
        <v>10212</v>
      </c>
      <c r="F7" s="25">
        <v>13009</v>
      </c>
      <c r="G7" s="267">
        <v>13009</v>
      </c>
      <c r="H7" s="267">
        <v>13009</v>
      </c>
      <c r="I7" s="267">
        <v>13009</v>
      </c>
      <c r="J7" s="267">
        <v>13009</v>
      </c>
      <c r="K7" s="267">
        <v>13009</v>
      </c>
    </row>
    <row r="8" spans="1:11" ht="15.6" x14ac:dyDescent="0.3">
      <c r="A8" s="4" t="s">
        <v>12</v>
      </c>
      <c r="B8" s="4" t="s">
        <v>9</v>
      </c>
      <c r="C8" s="4">
        <v>84262</v>
      </c>
      <c r="D8" s="21">
        <v>86479</v>
      </c>
      <c r="E8" s="24">
        <v>79980</v>
      </c>
      <c r="F8" s="23">
        <v>114335</v>
      </c>
      <c r="G8" s="273">
        <f>PPE!H81</f>
        <v>75054.575700000016</v>
      </c>
      <c r="H8" s="273">
        <f>PPE!I81</f>
        <v>77794.230330428574</v>
      </c>
      <c r="I8" s="273">
        <f>PPE!J81</f>
        <v>81625.565791635658</v>
      </c>
      <c r="J8" s="273">
        <f>PPE!K81</f>
        <v>86574.868429461785</v>
      </c>
      <c r="K8" s="273">
        <f>PPE!L81</f>
        <v>92718.771214317603</v>
      </c>
    </row>
    <row r="9" spans="1:11" ht="15.6" x14ac:dyDescent="0.3">
      <c r="A9" s="4" t="s">
        <v>13</v>
      </c>
      <c r="B9" s="4" t="s">
        <v>9</v>
      </c>
      <c r="C9" s="4">
        <v>29285</v>
      </c>
      <c r="D9" s="21">
        <v>50010</v>
      </c>
      <c r="E9" s="24">
        <v>54782</v>
      </c>
      <c r="F9" s="23">
        <v>104454</v>
      </c>
      <c r="G9" s="273">
        <f>105450-21620-6.88</f>
        <v>83823.12</v>
      </c>
      <c r="H9" s="273">
        <v>105450</v>
      </c>
      <c r="I9" s="273">
        <f>105450+24871</f>
        <v>130321</v>
      </c>
      <c r="J9" s="273">
        <v>105450</v>
      </c>
      <c r="K9" s="273">
        <v>105450</v>
      </c>
    </row>
    <row r="10" spans="1:11" ht="15.6" x14ac:dyDescent="0.3">
      <c r="A10" s="7" t="s">
        <v>14</v>
      </c>
      <c r="B10" s="5"/>
      <c r="C10" s="7">
        <f>SUBTOTAL(109,C3:C9)</f>
        <v>577837</v>
      </c>
      <c r="D10" s="7">
        <f t="shared" ref="D10:F10" si="0">SUBTOTAL(109,D3:D9)</f>
        <v>641764</v>
      </c>
      <c r="E10" s="7">
        <f t="shared" si="0"/>
        <v>667211</v>
      </c>
      <c r="F10" s="7">
        <f t="shared" si="0"/>
        <v>800304</v>
      </c>
      <c r="G10" s="7">
        <f>SUM(G5:G9)</f>
        <v>785445.35149473697</v>
      </c>
      <c r="H10" s="7">
        <f t="shared" ref="H10:K10" si="1">SUM(H5:H9)</f>
        <v>843160.3234224763</v>
      </c>
      <c r="I10" s="7">
        <f t="shared" si="1"/>
        <v>899578.22593346797</v>
      </c>
      <c r="J10" s="7">
        <f t="shared" si="1"/>
        <v>931929.37864726433</v>
      </c>
      <c r="K10" s="7">
        <f t="shared" si="1"/>
        <v>982517.77116818249</v>
      </c>
    </row>
    <row r="11" spans="1:11" ht="15.6" x14ac:dyDescent="0.3">
      <c r="A11" s="4" t="s">
        <v>15</v>
      </c>
      <c r="B11" s="4"/>
      <c r="C11" s="4"/>
      <c r="D11" s="26"/>
      <c r="E11" s="27"/>
      <c r="F11" s="23"/>
    </row>
    <row r="12" spans="1:11" ht="15.6" x14ac:dyDescent="0.3">
      <c r="A12" s="4" t="s">
        <v>16</v>
      </c>
      <c r="B12" s="4" t="s">
        <v>17</v>
      </c>
      <c r="C12" s="4">
        <v>164612</v>
      </c>
      <c r="D12" s="21">
        <v>203852</v>
      </c>
      <c r="E12" s="22">
        <v>212382</v>
      </c>
      <c r="F12" s="23">
        <v>286146</v>
      </c>
      <c r="G12" s="269">
        <f>debt!J29</f>
        <v>396372.7</v>
      </c>
      <c r="H12" s="269">
        <f>debt!K29</f>
        <v>463415.74</v>
      </c>
      <c r="I12" s="269">
        <f>debt!L29</f>
        <v>546641.78799999994</v>
      </c>
      <c r="J12" s="269">
        <f>debt!M29</f>
        <v>645125.84559999988</v>
      </c>
      <c r="K12" s="269">
        <f>debt!N29</f>
        <v>764000.31471999979</v>
      </c>
    </row>
    <row r="13" spans="1:11" ht="15.6" x14ac:dyDescent="0.3">
      <c r="A13" s="4" t="s">
        <v>18</v>
      </c>
      <c r="B13" s="4" t="s">
        <v>19</v>
      </c>
      <c r="C13" s="4">
        <v>5452</v>
      </c>
      <c r="D13" s="21">
        <v>21732</v>
      </c>
      <c r="E13" s="24">
        <v>1117</v>
      </c>
      <c r="F13" s="25">
        <v>1588</v>
      </c>
      <c r="G13" s="273">
        <f>F13</f>
        <v>1588</v>
      </c>
      <c r="H13" s="273">
        <f t="shared" ref="H13:K13" si="2">G13</f>
        <v>1588</v>
      </c>
      <c r="I13" s="273">
        <f t="shared" si="2"/>
        <v>1588</v>
      </c>
      <c r="J13" s="273">
        <f t="shared" si="2"/>
        <v>1588</v>
      </c>
      <c r="K13" s="273">
        <f t="shared" si="2"/>
        <v>1588</v>
      </c>
    </row>
    <row r="14" spans="1:11" ht="15.6" x14ac:dyDescent="0.3">
      <c r="A14" s="27" t="s">
        <v>20</v>
      </c>
      <c r="B14" s="6">
        <v>4</v>
      </c>
      <c r="C14" s="28"/>
      <c r="D14" s="4"/>
      <c r="E14" s="24">
        <v>1367</v>
      </c>
      <c r="F14" s="25">
        <v>2377</v>
      </c>
      <c r="G14" s="273">
        <f>F14</f>
        <v>2377</v>
      </c>
      <c r="H14" s="273">
        <f t="shared" ref="H14:K14" si="3">G14</f>
        <v>2377</v>
      </c>
      <c r="I14" s="273">
        <f t="shared" si="3"/>
        <v>2377</v>
      </c>
      <c r="J14" s="273">
        <f t="shared" si="3"/>
        <v>2377</v>
      </c>
      <c r="K14" s="273">
        <f t="shared" si="3"/>
        <v>2377</v>
      </c>
    </row>
    <row r="15" spans="1:11" ht="15.6" x14ac:dyDescent="0.3">
      <c r="A15" s="4" t="s">
        <v>21</v>
      </c>
      <c r="B15" s="4" t="s">
        <v>22</v>
      </c>
      <c r="C15" s="4">
        <v>4776</v>
      </c>
      <c r="D15" s="21">
        <v>2900</v>
      </c>
      <c r="E15" s="24">
        <v>1147</v>
      </c>
      <c r="F15" s="25">
        <v>1043</v>
      </c>
      <c r="G15" s="272">
        <v>1260</v>
      </c>
      <c r="H15" s="272">
        <v>1260</v>
      </c>
      <c r="I15" s="272">
        <v>1260</v>
      </c>
      <c r="J15" s="272">
        <v>1260</v>
      </c>
      <c r="K15" s="272">
        <v>1260</v>
      </c>
    </row>
    <row r="16" spans="1:11" ht="15.6" x14ac:dyDescent="0.3">
      <c r="A16" s="4" t="s">
        <v>23</v>
      </c>
      <c r="B16" s="4" t="s">
        <v>24</v>
      </c>
      <c r="C16" s="4">
        <v>17676</v>
      </c>
      <c r="D16" s="21">
        <v>37407</v>
      </c>
      <c r="E16" s="24">
        <v>64977</v>
      </c>
      <c r="F16" s="25">
        <v>61188</v>
      </c>
      <c r="G16" s="272">
        <v>62000</v>
      </c>
      <c r="H16" s="272">
        <v>62000</v>
      </c>
      <c r="I16" s="272">
        <v>62000</v>
      </c>
      <c r="J16" s="272">
        <v>92856</v>
      </c>
      <c r="K16" s="272">
        <v>107114.32</v>
      </c>
    </row>
    <row r="17" spans="1:11" ht="15.6" x14ac:dyDescent="0.3">
      <c r="A17" s="3" t="s">
        <v>25</v>
      </c>
      <c r="B17" s="3"/>
      <c r="C17" s="3">
        <v>770353</v>
      </c>
      <c r="D17" s="29">
        <v>907655</v>
      </c>
      <c r="E17" s="30">
        <v>948201</v>
      </c>
      <c r="F17" s="20">
        <v>1152646</v>
      </c>
      <c r="G17" s="268">
        <f>SUM(G10:G16)</f>
        <v>1249043.0514947369</v>
      </c>
      <c r="H17" s="268">
        <f t="shared" ref="H17:K17" si="4">SUM(H10:H16)</f>
        <v>1373801.0634224764</v>
      </c>
      <c r="I17" s="268">
        <f t="shared" si="4"/>
        <v>1513445.0139334679</v>
      </c>
      <c r="J17" s="268">
        <f t="shared" si="4"/>
        <v>1675136.2242472642</v>
      </c>
      <c r="K17" s="268">
        <f t="shared" si="4"/>
        <v>1858857.4058881823</v>
      </c>
    </row>
    <row r="18" spans="1:11" ht="18" x14ac:dyDescent="0.35">
      <c r="A18" s="2" t="s">
        <v>26</v>
      </c>
      <c r="B18" s="2"/>
      <c r="C18" s="2"/>
      <c r="D18" s="31"/>
      <c r="E18" s="16"/>
      <c r="F18" s="20"/>
      <c r="G18" s="20"/>
      <c r="H18" s="20"/>
      <c r="I18" s="20"/>
      <c r="J18" s="20"/>
      <c r="K18" s="20"/>
    </row>
    <row r="19" spans="1:11" ht="15.6" x14ac:dyDescent="0.3">
      <c r="A19" s="4" t="s">
        <v>27</v>
      </c>
      <c r="B19" s="4" t="s">
        <v>28</v>
      </c>
      <c r="C19" s="4">
        <v>67561</v>
      </c>
      <c r="D19" s="21">
        <v>73903</v>
      </c>
      <c r="E19" s="24">
        <v>81672</v>
      </c>
      <c r="F19" s="23">
        <v>107778</v>
      </c>
      <c r="G19" s="273">
        <f>'WORKING CAPITAL'!G8</f>
        <v>120073.60107553896</v>
      </c>
      <c r="H19" s="273">
        <f>'WORKING CAPITAL'!H8</f>
        <v>137557.23690159895</v>
      </c>
      <c r="I19" s="273">
        <f>'WORKING CAPITAL'!I8</f>
        <v>158077.77015273014</v>
      </c>
      <c r="J19" s="273">
        <f>'WORKING CAPITAL'!J8</f>
        <v>182242.05726674449</v>
      </c>
      <c r="K19" s="598">
        <f>'WORKING CAPITAL'!K8</f>
        <v>210789.12060118109</v>
      </c>
    </row>
    <row r="20" spans="1:11" ht="15.6" x14ac:dyDescent="0.3">
      <c r="A20" s="4" t="s">
        <v>15</v>
      </c>
      <c r="B20" s="4"/>
      <c r="C20" s="4"/>
      <c r="D20" s="26"/>
      <c r="E20" s="27"/>
      <c r="F20" s="23"/>
    </row>
    <row r="21" spans="1:11" ht="15.6" x14ac:dyDescent="0.3">
      <c r="A21" s="4" t="s">
        <v>16</v>
      </c>
      <c r="B21" s="4" t="s">
        <v>29</v>
      </c>
      <c r="C21" s="4">
        <v>71023</v>
      </c>
      <c r="D21" s="21">
        <v>72915</v>
      </c>
      <c r="E21" s="22">
        <v>152446</v>
      </c>
      <c r="F21" s="23">
        <v>108118</v>
      </c>
      <c r="G21" s="274">
        <v>108118</v>
      </c>
      <c r="H21" s="274">
        <v>108118</v>
      </c>
      <c r="I21" s="274">
        <v>108118</v>
      </c>
      <c r="J21" s="274">
        <v>108118</v>
      </c>
      <c r="K21" s="274">
        <v>108118</v>
      </c>
    </row>
    <row r="22" spans="1:11" ht="15.6" x14ac:dyDescent="0.3">
      <c r="A22" s="4" t="s">
        <v>30</v>
      </c>
      <c r="B22" s="4" t="s">
        <v>31</v>
      </c>
      <c r="C22" s="4">
        <v>30089</v>
      </c>
      <c r="D22" s="21">
        <v>19656</v>
      </c>
      <c r="E22" s="24">
        <v>19014</v>
      </c>
      <c r="F22" s="25">
        <v>23640</v>
      </c>
      <c r="G22" s="273">
        <f>'WORKING CAPITAL'!G20</f>
        <v>34271.495753424657</v>
      </c>
      <c r="H22" s="273">
        <f>'WORKING CAPITAL'!H20</f>
        <v>39261.687982191783</v>
      </c>
      <c r="I22" s="273">
        <f>'WORKING CAPITAL'!I20</f>
        <v>45118.673713232885</v>
      </c>
      <c r="J22" s="273">
        <f>'WORKING CAPITAL'!J20</f>
        <v>52015.662358484602</v>
      </c>
      <c r="K22" s="273">
        <f>'WORKING CAPITAL'!K20</f>
        <v>60163.586224142644</v>
      </c>
    </row>
    <row r="23" spans="1:11" ht="15.6" x14ac:dyDescent="0.3">
      <c r="A23" s="4" t="s">
        <v>32</v>
      </c>
      <c r="B23" s="4" t="s">
        <v>33</v>
      </c>
      <c r="C23" s="4">
        <v>11081</v>
      </c>
      <c r="D23" s="21">
        <v>30920</v>
      </c>
      <c r="E23" s="24">
        <v>17397</v>
      </c>
      <c r="F23" s="25">
        <v>36178</v>
      </c>
      <c r="G23" s="275">
        <f>cashflow!J53</f>
        <v>48636.36923066491</v>
      </c>
      <c r="H23" s="275">
        <f>cashflow!K53</f>
        <v>77253.761480988614</v>
      </c>
      <c r="I23" s="275">
        <f>cashflow!L53</f>
        <v>106161.69028829788</v>
      </c>
      <c r="J23" s="275">
        <f>cashflow!M53</f>
        <v>137285.51520385881</v>
      </c>
      <c r="K23" s="275">
        <f>cashflow!N53</f>
        <v>172949.80949345886</v>
      </c>
    </row>
    <row r="24" spans="1:11" ht="15.6" x14ac:dyDescent="0.3">
      <c r="A24" s="4" t="s">
        <v>18</v>
      </c>
      <c r="B24" s="4" t="s">
        <v>6</v>
      </c>
      <c r="C24" s="4">
        <v>545</v>
      </c>
      <c r="D24" s="32">
        <v>669</v>
      </c>
      <c r="E24" s="33">
        <v>65</v>
      </c>
      <c r="F24" s="25">
        <v>130</v>
      </c>
      <c r="G24" s="272">
        <v>130</v>
      </c>
      <c r="H24" s="272">
        <v>130</v>
      </c>
      <c r="I24" s="272">
        <v>130</v>
      </c>
      <c r="J24" s="272">
        <v>130</v>
      </c>
      <c r="K24" s="272">
        <v>130</v>
      </c>
    </row>
    <row r="25" spans="1:11" ht="15.6" x14ac:dyDescent="0.3">
      <c r="A25" s="4" t="s">
        <v>20</v>
      </c>
      <c r="B25" s="4" t="s">
        <v>34</v>
      </c>
      <c r="C25" s="4">
        <v>10283</v>
      </c>
      <c r="D25" s="21">
        <v>27434</v>
      </c>
      <c r="E25" s="24">
        <v>61124</v>
      </c>
      <c r="F25" s="25">
        <v>23896</v>
      </c>
      <c r="G25" s="267">
        <v>23896</v>
      </c>
      <c r="H25" s="267">
        <v>23896</v>
      </c>
      <c r="I25" s="267">
        <v>23896</v>
      </c>
      <c r="J25" s="267">
        <v>23896</v>
      </c>
      <c r="K25" s="267">
        <v>23896</v>
      </c>
    </row>
    <row r="26" spans="1:11" ht="15.6" x14ac:dyDescent="0.3">
      <c r="A26" s="4" t="s">
        <v>35</v>
      </c>
      <c r="B26" s="4" t="s">
        <v>36</v>
      </c>
      <c r="C26" s="4">
        <v>36804</v>
      </c>
      <c r="D26" s="21">
        <v>32763</v>
      </c>
      <c r="E26" s="24">
        <v>41293</v>
      </c>
      <c r="F26" s="25">
        <v>47279</v>
      </c>
      <c r="G26" s="267">
        <v>47279</v>
      </c>
      <c r="H26" s="267">
        <v>47279</v>
      </c>
      <c r="I26" s="267">
        <v>47279</v>
      </c>
      <c r="J26" s="267">
        <v>47279</v>
      </c>
      <c r="K26" s="267">
        <v>47279</v>
      </c>
    </row>
    <row r="27" spans="1:11" ht="15.6" x14ac:dyDescent="0.3">
      <c r="A27" s="4" t="s">
        <v>37</v>
      </c>
      <c r="B27" s="4"/>
      <c r="C27" s="4">
        <v>227386</v>
      </c>
      <c r="D27" s="21">
        <v>258260</v>
      </c>
      <c r="E27" s="22">
        <v>373011</v>
      </c>
      <c r="F27" s="23">
        <v>347019</v>
      </c>
      <c r="G27" s="273">
        <f>SUM(G19:G26)</f>
        <v>382404.46605962852</v>
      </c>
      <c r="H27" s="273">
        <f>SUM(H19:H26)</f>
        <v>433495.68636477937</v>
      </c>
      <c r="I27" s="273">
        <f>SUM(I19:I26)</f>
        <v>488781.13415426092</v>
      </c>
      <c r="J27" s="273">
        <f>SUM(J19:J26)</f>
        <v>550966.23482908786</v>
      </c>
      <c r="K27" s="273">
        <f>SUM(K19:K26)</f>
        <v>623325.51631878258</v>
      </c>
    </row>
    <row r="28" spans="1:11" ht="15.6" x14ac:dyDescent="0.3">
      <c r="A28" s="4" t="s">
        <v>38</v>
      </c>
      <c r="B28" s="4" t="s">
        <v>39</v>
      </c>
      <c r="C28" s="4">
        <v>4667</v>
      </c>
      <c r="D28" s="21"/>
      <c r="E28" s="4"/>
      <c r="F28" s="34"/>
    </row>
    <row r="29" spans="1:11" ht="18" x14ac:dyDescent="0.35">
      <c r="A29" s="2" t="s">
        <v>40</v>
      </c>
      <c r="B29" s="2"/>
      <c r="C29" s="2">
        <v>1002406</v>
      </c>
      <c r="D29" s="35">
        <v>1165915</v>
      </c>
      <c r="E29" s="36">
        <v>1321212</v>
      </c>
      <c r="F29" s="17">
        <v>1499665</v>
      </c>
      <c r="G29" s="17">
        <f>+G27+G17</f>
        <v>1631447.5175543656</v>
      </c>
      <c r="H29" s="17">
        <f t="shared" ref="H29:K29" si="5">+H27+H17</f>
        <v>1807296.7497872557</v>
      </c>
      <c r="I29" s="17">
        <f t="shared" si="5"/>
        <v>2002226.1480877288</v>
      </c>
      <c r="J29" s="17">
        <f t="shared" si="5"/>
        <v>2226102.459076352</v>
      </c>
      <c r="K29" s="17">
        <f t="shared" si="5"/>
        <v>2482182.9222069648</v>
      </c>
    </row>
    <row r="30" spans="1:11" ht="18" x14ac:dyDescent="0.35">
      <c r="A30" s="2" t="s">
        <v>41</v>
      </c>
      <c r="B30" s="2" t="s">
        <v>6</v>
      </c>
      <c r="C30" s="2"/>
      <c r="D30" s="51"/>
      <c r="E30" s="2"/>
      <c r="F30" s="37"/>
      <c r="G30" s="17"/>
      <c r="H30" s="17"/>
      <c r="I30" s="17"/>
      <c r="J30" s="17"/>
      <c r="K30" s="17"/>
    </row>
    <row r="31" spans="1:11" ht="18" x14ac:dyDescent="0.35">
      <c r="A31" s="2" t="s">
        <v>42</v>
      </c>
      <c r="B31" s="2" t="s">
        <v>6</v>
      </c>
      <c r="C31" s="2"/>
      <c r="D31" s="51"/>
      <c r="E31" s="2"/>
      <c r="F31" s="37"/>
      <c r="G31" s="17"/>
      <c r="H31" s="17"/>
      <c r="I31" s="17"/>
      <c r="J31" s="17"/>
      <c r="K31" s="17"/>
    </row>
    <row r="32" spans="1:11" ht="15.6" x14ac:dyDescent="0.3">
      <c r="A32" s="4" t="s">
        <v>43</v>
      </c>
      <c r="B32" s="4" t="s">
        <v>44</v>
      </c>
      <c r="C32" s="4">
        <v>5926</v>
      </c>
      <c r="D32" s="21">
        <v>6339</v>
      </c>
      <c r="E32" s="24">
        <v>6445</v>
      </c>
      <c r="F32" s="25">
        <v>6765</v>
      </c>
      <c r="G32" s="273">
        <f>F32</f>
        <v>6765</v>
      </c>
      <c r="H32" s="273">
        <f t="shared" ref="H32:K32" si="6">G32</f>
        <v>6765</v>
      </c>
      <c r="I32" s="273">
        <f t="shared" si="6"/>
        <v>6765</v>
      </c>
      <c r="J32" s="273">
        <f t="shared" si="6"/>
        <v>6765</v>
      </c>
      <c r="K32" s="273">
        <f t="shared" si="6"/>
        <v>6765</v>
      </c>
    </row>
    <row r="33" spans="1:11" ht="15.6" x14ac:dyDescent="0.3">
      <c r="A33" s="4" t="s">
        <v>45</v>
      </c>
      <c r="B33" s="4" t="s">
        <v>46</v>
      </c>
      <c r="C33" s="4">
        <v>381186</v>
      </c>
      <c r="D33" s="21">
        <v>442827</v>
      </c>
      <c r="E33" s="22">
        <v>693727</v>
      </c>
      <c r="F33" s="23">
        <v>772720</v>
      </c>
      <c r="G33" s="276">
        <f>'other equity'!F40</f>
        <v>864012.9512817529</v>
      </c>
      <c r="H33" s="276">
        <f>'other equity'!G40</f>
        <v>968668.1942680683</v>
      </c>
      <c r="I33" s="276">
        <f>'other equity'!H40</f>
        <v>1084911.4331553697</v>
      </c>
      <c r="J33" s="276">
        <f>'other equity'!I40</f>
        <v>1214341.2177220802</v>
      </c>
      <c r="K33" s="276">
        <f>'other equity'!J40</f>
        <v>1360794.8808003205</v>
      </c>
    </row>
    <row r="34" spans="1:11" ht="15.6" x14ac:dyDescent="0.3">
      <c r="A34" s="4" t="s">
        <v>47</v>
      </c>
      <c r="B34" s="4"/>
      <c r="C34" s="4">
        <v>8280</v>
      </c>
      <c r="D34" s="21">
        <v>12181</v>
      </c>
      <c r="E34" s="24">
        <v>99260</v>
      </c>
      <c r="F34" s="23">
        <v>109499</v>
      </c>
      <c r="G34" s="274">
        <f>'other equity'!F52</f>
        <v>119642.6612535281</v>
      </c>
      <c r="H34" s="274">
        <f>'other equity'!G52</f>
        <v>131271.02158534093</v>
      </c>
      <c r="I34" s="274">
        <f>'other equity'!H52</f>
        <v>144186.93701726329</v>
      </c>
      <c r="J34" s="274">
        <f>'other equity'!I52</f>
        <v>158568.02419134224</v>
      </c>
      <c r="K34" s="274">
        <f>'other equity'!J52</f>
        <v>174840.6534222578</v>
      </c>
    </row>
    <row r="35" spans="1:11" ht="15.6" x14ac:dyDescent="0.3">
      <c r="A35" s="3" t="s">
        <v>48</v>
      </c>
      <c r="B35" s="3"/>
      <c r="C35" s="3"/>
      <c r="D35" s="38"/>
      <c r="E35" s="3"/>
      <c r="F35" s="39"/>
      <c r="G35" s="39"/>
      <c r="H35" s="39"/>
      <c r="I35" s="39"/>
      <c r="J35" s="39"/>
      <c r="K35" s="39"/>
    </row>
    <row r="36" spans="1:11" ht="15.6" x14ac:dyDescent="0.3">
      <c r="A36" s="3" t="s">
        <v>49</v>
      </c>
      <c r="B36" s="7"/>
      <c r="C36" s="7"/>
      <c r="D36" s="40"/>
      <c r="E36" s="7"/>
      <c r="F36" s="41"/>
      <c r="G36" s="39"/>
      <c r="H36" s="39"/>
      <c r="I36" s="39"/>
      <c r="J36" s="39"/>
      <c r="K36" s="39"/>
    </row>
    <row r="37" spans="1:11" ht="15.6" x14ac:dyDescent="0.3">
      <c r="A37" s="7" t="s">
        <v>50</v>
      </c>
      <c r="B37" s="7"/>
      <c r="C37" s="7"/>
      <c r="D37" s="40"/>
      <c r="E37" s="7"/>
      <c r="F37" s="41"/>
      <c r="G37" s="39"/>
      <c r="H37" s="39"/>
      <c r="I37" s="39"/>
      <c r="J37" s="39"/>
      <c r="K37" s="39"/>
    </row>
    <row r="38" spans="1:11" ht="15.6" x14ac:dyDescent="0.3">
      <c r="A38" s="4" t="s">
        <v>51</v>
      </c>
      <c r="B38" s="4" t="s">
        <v>52</v>
      </c>
      <c r="C38" s="4">
        <v>207506</v>
      </c>
      <c r="D38" s="21">
        <v>197631</v>
      </c>
      <c r="E38" s="22">
        <v>163683</v>
      </c>
      <c r="F38" s="23">
        <v>187699</v>
      </c>
      <c r="G38" s="273">
        <f>debt!B45</f>
        <v>212474.67082105268</v>
      </c>
      <c r="H38" s="273">
        <f>debt!C45</f>
        <v>244381.69419251132</v>
      </c>
      <c r="I38" s="273">
        <f>debt!D45</f>
        <v>282417.78162045055</v>
      </c>
      <c r="J38" s="273">
        <f>debt!E45</f>
        <v>327454.54980468459</v>
      </c>
      <c r="K38" s="273">
        <f>debt!F45</f>
        <v>380613.56594173488</v>
      </c>
    </row>
    <row r="39" spans="1:11" ht="15.6" x14ac:dyDescent="0.3">
      <c r="A39" s="4" t="s">
        <v>53</v>
      </c>
      <c r="B39" s="4" t="s">
        <v>54</v>
      </c>
      <c r="C39" s="4">
        <v>10020</v>
      </c>
      <c r="D39" s="21">
        <v>18804</v>
      </c>
      <c r="E39" s="24">
        <v>6948</v>
      </c>
      <c r="F39" s="25">
        <v>13007</v>
      </c>
      <c r="G39" s="272">
        <f>debt!B42</f>
        <v>13000</v>
      </c>
      <c r="H39" s="272">
        <f>debt!C42</f>
        <v>13000</v>
      </c>
      <c r="I39" s="272">
        <f>debt!D42</f>
        <v>13000</v>
      </c>
      <c r="J39" s="272">
        <f>debt!E42</f>
        <v>13000</v>
      </c>
      <c r="K39" s="272">
        <f>debt!F42</f>
        <v>13000</v>
      </c>
    </row>
    <row r="40" spans="1:11" ht="15.6" x14ac:dyDescent="0.3">
      <c r="A40" s="4" t="s">
        <v>55</v>
      </c>
      <c r="B40" s="4" t="s">
        <v>56</v>
      </c>
      <c r="C40" s="4">
        <v>18839</v>
      </c>
      <c r="D40" s="21">
        <v>18839</v>
      </c>
      <c r="E40" s="24">
        <v>18837</v>
      </c>
      <c r="F40" s="25">
        <v>37184</v>
      </c>
      <c r="G40" s="273">
        <f>debt!B44</f>
        <v>37184</v>
      </c>
      <c r="H40" s="273">
        <f>debt!C44</f>
        <v>37184</v>
      </c>
      <c r="I40" s="273">
        <f>debt!D44</f>
        <v>37184</v>
      </c>
      <c r="J40" s="273">
        <f>debt!E44</f>
        <v>37184</v>
      </c>
      <c r="K40" s="273">
        <f>debt!F44</f>
        <v>37184</v>
      </c>
    </row>
    <row r="41" spans="1:11" ht="15.6" x14ac:dyDescent="0.3">
      <c r="A41" s="4" t="s">
        <v>57</v>
      </c>
      <c r="B41" s="4"/>
      <c r="C41" s="4"/>
      <c r="D41" s="21"/>
      <c r="E41" s="24">
        <v>14616</v>
      </c>
      <c r="F41" s="25">
        <v>12024</v>
      </c>
      <c r="G41" s="272">
        <f>debt!B43</f>
        <v>12031</v>
      </c>
      <c r="H41" s="272">
        <f>debt!C43</f>
        <v>12031</v>
      </c>
      <c r="I41" s="272">
        <f>debt!D43</f>
        <v>12031</v>
      </c>
      <c r="J41" s="272">
        <f>debt!E43</f>
        <v>12031</v>
      </c>
      <c r="K41" s="272">
        <f>debt!F43</f>
        <v>12031</v>
      </c>
    </row>
    <row r="42" spans="1:11" ht="15.6" x14ac:dyDescent="0.3">
      <c r="A42" s="4" t="s">
        <v>58</v>
      </c>
      <c r="B42" s="4" t="s">
        <v>59</v>
      </c>
      <c r="C42" s="4">
        <v>2856</v>
      </c>
      <c r="D42" s="21">
        <v>1790</v>
      </c>
      <c r="E42" s="24">
        <v>2625</v>
      </c>
      <c r="F42" s="25">
        <v>1853</v>
      </c>
      <c r="G42" s="269">
        <f>AVERAGE(E42:F42)</f>
        <v>2239</v>
      </c>
      <c r="H42" s="269">
        <f t="shared" ref="H42:K42" si="7">AVERAGE(F42:G42)</f>
        <v>2046</v>
      </c>
      <c r="I42" s="269">
        <f t="shared" si="7"/>
        <v>2142.5</v>
      </c>
      <c r="J42" s="269">
        <f t="shared" si="7"/>
        <v>2094.25</v>
      </c>
      <c r="K42" s="269">
        <f t="shared" si="7"/>
        <v>2118.375</v>
      </c>
    </row>
    <row r="43" spans="1:11" ht="15.6" x14ac:dyDescent="0.3">
      <c r="A43" s="4" t="s">
        <v>60</v>
      </c>
      <c r="B43" s="4" t="s">
        <v>22</v>
      </c>
      <c r="C43" s="4">
        <v>49923</v>
      </c>
      <c r="D43" s="21">
        <v>54123</v>
      </c>
      <c r="E43" s="24">
        <v>37001</v>
      </c>
      <c r="F43" s="25">
        <v>49644</v>
      </c>
      <c r="G43" s="269">
        <f>AVERAGE(E43:F43)</f>
        <v>43322.5</v>
      </c>
      <c r="H43" s="269">
        <f t="shared" ref="H43:K43" si="8">AVERAGE(F43:G43)</f>
        <v>46483.25</v>
      </c>
      <c r="I43" s="269">
        <f t="shared" si="8"/>
        <v>44902.875</v>
      </c>
      <c r="J43" s="269">
        <f t="shared" si="8"/>
        <v>45693.0625</v>
      </c>
      <c r="K43" s="269">
        <f t="shared" si="8"/>
        <v>45297.96875</v>
      </c>
    </row>
    <row r="44" spans="1:11" ht="15.6" x14ac:dyDescent="0.3">
      <c r="A44" s="4" t="s">
        <v>61</v>
      </c>
      <c r="B44" s="4"/>
      <c r="C44" s="4">
        <v>548</v>
      </c>
      <c r="D44" s="32">
        <v>465</v>
      </c>
      <c r="E44" s="33">
        <v>502</v>
      </c>
      <c r="F44" s="25">
        <v>608</v>
      </c>
      <c r="G44" s="272">
        <v>610</v>
      </c>
      <c r="H44" s="272">
        <v>610</v>
      </c>
      <c r="I44" s="272">
        <v>610</v>
      </c>
      <c r="J44" s="272">
        <v>610</v>
      </c>
      <c r="K44" s="272">
        <v>610</v>
      </c>
    </row>
    <row r="45" spans="1:11" ht="15.6" x14ac:dyDescent="0.3">
      <c r="A45" s="3" t="s">
        <v>62</v>
      </c>
      <c r="B45" s="3"/>
      <c r="C45" s="3">
        <v>289692</v>
      </c>
      <c r="D45" s="29">
        <v>291652</v>
      </c>
      <c r="E45" s="30">
        <v>244212</v>
      </c>
      <c r="F45" s="20">
        <v>302019</v>
      </c>
      <c r="G45" s="20">
        <f>SUM(G38:G44)</f>
        <v>320861.17082105268</v>
      </c>
      <c r="H45" s="20">
        <f t="shared" ref="H45:K45" si="9">SUM(H38:H44)</f>
        <v>355735.94419251132</v>
      </c>
      <c r="I45" s="20">
        <f t="shared" si="9"/>
        <v>392288.15662045055</v>
      </c>
      <c r="J45" s="20">
        <f t="shared" si="9"/>
        <v>438066.86230468459</v>
      </c>
      <c r="K45" s="20">
        <f t="shared" si="9"/>
        <v>490854.90969173488</v>
      </c>
    </row>
    <row r="46" spans="1:11" ht="15.6" x14ac:dyDescent="0.3">
      <c r="A46" s="3" t="s">
        <v>63</v>
      </c>
      <c r="B46" s="3"/>
      <c r="C46" s="3"/>
      <c r="D46" s="38"/>
      <c r="E46" s="3"/>
      <c r="F46" s="39"/>
      <c r="G46" s="39"/>
      <c r="H46" s="39"/>
      <c r="I46" s="39"/>
      <c r="J46" s="39"/>
      <c r="K46" s="39"/>
    </row>
    <row r="47" spans="1:11" ht="15.6" x14ac:dyDescent="0.3">
      <c r="A47" s="42" t="s">
        <v>50</v>
      </c>
      <c r="B47" s="4"/>
      <c r="C47" s="4"/>
      <c r="D47" s="26"/>
      <c r="E47" s="4"/>
      <c r="F47" s="34"/>
    </row>
    <row r="48" spans="1:11" ht="15.6" x14ac:dyDescent="0.3">
      <c r="A48" s="4" t="s">
        <v>51</v>
      </c>
      <c r="B48" s="4" t="s">
        <v>64</v>
      </c>
      <c r="C48" s="4">
        <v>64436</v>
      </c>
      <c r="D48" s="21">
        <v>93786</v>
      </c>
      <c r="E48" s="24">
        <v>88128</v>
      </c>
      <c r="F48" s="25">
        <v>78606</v>
      </c>
      <c r="G48" s="267">
        <v>78606</v>
      </c>
      <c r="H48" s="273">
        <v>78606</v>
      </c>
      <c r="I48" s="272">
        <v>78606</v>
      </c>
      <c r="J48" s="272">
        <v>78606</v>
      </c>
      <c r="K48" s="272">
        <v>78606</v>
      </c>
    </row>
    <row r="49" spans="1:11" ht="15.6" x14ac:dyDescent="0.3">
      <c r="A49" s="4" t="s">
        <v>65</v>
      </c>
      <c r="B49" s="4"/>
      <c r="C49" s="4"/>
      <c r="D49" s="21"/>
      <c r="E49" s="24">
        <v>1366</v>
      </c>
      <c r="F49" s="25">
        <v>2662</v>
      </c>
      <c r="G49" s="267">
        <v>2662</v>
      </c>
      <c r="H49" s="267">
        <v>2662</v>
      </c>
      <c r="I49" s="267">
        <v>2662</v>
      </c>
      <c r="J49" s="267">
        <v>2662</v>
      </c>
      <c r="K49" s="267">
        <v>2662</v>
      </c>
    </row>
    <row r="50" spans="1:11" ht="15.6" x14ac:dyDescent="0.3">
      <c r="A50" s="4" t="s">
        <v>66</v>
      </c>
      <c r="B50" s="4"/>
      <c r="C50" s="4">
        <v>108309</v>
      </c>
      <c r="D50" s="21">
        <v>96799</v>
      </c>
      <c r="E50" s="22">
        <v>108897</v>
      </c>
      <c r="F50" s="23">
        <v>159330</v>
      </c>
      <c r="G50" s="273">
        <f>'WORKING CAPITAL'!G13</f>
        <v>170549.73873735761</v>
      </c>
      <c r="H50" s="273">
        <f>'WORKING CAPITAL'!H13</f>
        <v>195383.08674728157</v>
      </c>
      <c r="I50" s="273">
        <f>'WORKING CAPITAL'!I13</f>
        <v>224529.97293527852</v>
      </c>
      <c r="J50" s="273">
        <f>'WORKING CAPITAL'!J13</f>
        <v>258852.3620129324</v>
      </c>
      <c r="K50" s="273">
        <f>'WORKING CAPITAL'!K13</f>
        <v>299399.94407756987</v>
      </c>
    </row>
    <row r="51" spans="1:11" ht="15.6" x14ac:dyDescent="0.3">
      <c r="A51" s="4" t="s">
        <v>53</v>
      </c>
      <c r="B51" s="4" t="s">
        <v>67</v>
      </c>
      <c r="C51" s="4">
        <v>87051</v>
      </c>
      <c r="D51" s="21">
        <v>144778</v>
      </c>
      <c r="E51" s="24">
        <v>43639</v>
      </c>
      <c r="F51" s="25">
        <v>44544</v>
      </c>
      <c r="G51" s="267">
        <v>44544</v>
      </c>
      <c r="H51" s="267">
        <v>44544</v>
      </c>
      <c r="I51" s="267">
        <v>44544</v>
      </c>
      <c r="J51" s="267">
        <v>44544</v>
      </c>
      <c r="K51" s="267">
        <v>44544</v>
      </c>
    </row>
    <row r="52" spans="1:11" ht="15.6" x14ac:dyDescent="0.3">
      <c r="A52" s="4" t="s">
        <v>68</v>
      </c>
      <c r="B52" s="4" t="s">
        <v>69</v>
      </c>
      <c r="C52" s="4">
        <v>52901</v>
      </c>
      <c r="D52" s="21">
        <v>75663</v>
      </c>
      <c r="E52" s="24">
        <v>33034</v>
      </c>
      <c r="F52" s="25">
        <v>21584</v>
      </c>
      <c r="G52" s="267">
        <v>21584</v>
      </c>
      <c r="H52" s="267">
        <v>21584</v>
      </c>
      <c r="I52" s="267">
        <v>21584</v>
      </c>
      <c r="J52" s="267">
        <v>21584</v>
      </c>
      <c r="K52" s="267">
        <v>21584</v>
      </c>
    </row>
    <row r="53" spans="1:11" ht="15.6" x14ac:dyDescent="0.3">
      <c r="A53" s="4" t="s">
        <v>58</v>
      </c>
      <c r="B53" s="4" t="s">
        <v>70</v>
      </c>
      <c r="C53" s="4">
        <v>1326</v>
      </c>
      <c r="D53" s="21">
        <v>1890</v>
      </c>
      <c r="E53" s="24">
        <v>2504</v>
      </c>
      <c r="F53" s="25">
        <v>1936</v>
      </c>
      <c r="G53" s="269">
        <f>AVERAGE(E53:F53)</f>
        <v>2220</v>
      </c>
      <c r="H53" s="269">
        <f>AVERAGE(F53:G53)</f>
        <v>2078</v>
      </c>
      <c r="I53" s="269">
        <f>AVERAGE(G53:H53)</f>
        <v>2149</v>
      </c>
      <c r="J53" s="269">
        <f>AVERAGE(H53:I53)</f>
        <v>2113.5</v>
      </c>
      <c r="K53" s="269">
        <f>AVERAGE(I53:J53)</f>
        <v>2131.25</v>
      </c>
    </row>
    <row r="54" spans="1:11" ht="15.6" x14ac:dyDescent="0.3">
      <c r="A54" s="3" t="s">
        <v>71</v>
      </c>
      <c r="B54" s="3"/>
      <c r="C54" s="3">
        <v>314023</v>
      </c>
      <c r="D54" s="29">
        <v>412916</v>
      </c>
      <c r="E54" s="30">
        <v>277568</v>
      </c>
      <c r="F54" s="30">
        <v>308662</v>
      </c>
      <c r="G54" s="30">
        <f>SUM(G48:G53)</f>
        <v>320165.73873735761</v>
      </c>
      <c r="H54" s="30">
        <f>SUM(H48:H53)</f>
        <v>344857.0867472816</v>
      </c>
      <c r="I54" s="30">
        <f t="shared" ref="I54:K54" si="10">SUM(I48:I53)</f>
        <v>374074.97293527855</v>
      </c>
      <c r="J54" s="30">
        <f t="shared" si="10"/>
        <v>408361.86201293243</v>
      </c>
      <c r="K54" s="30">
        <f t="shared" si="10"/>
        <v>448927.19407756987</v>
      </c>
    </row>
    <row r="55" spans="1:11" ht="15.6" x14ac:dyDescent="0.3">
      <c r="A55" s="4" t="s">
        <v>72</v>
      </c>
      <c r="B55" s="4" t="s">
        <v>39</v>
      </c>
      <c r="C55" s="4">
        <v>3299</v>
      </c>
      <c r="D55" s="21"/>
      <c r="E55" s="22"/>
      <c r="F55" s="23"/>
    </row>
    <row r="56" spans="1:11" ht="18" x14ac:dyDescent="0.35">
      <c r="A56" s="2" t="s">
        <v>73</v>
      </c>
      <c r="B56" s="2"/>
      <c r="C56" s="2">
        <v>607014</v>
      </c>
      <c r="D56" s="35">
        <v>704568</v>
      </c>
      <c r="E56" s="36">
        <v>521780</v>
      </c>
      <c r="F56" s="17">
        <v>610681</v>
      </c>
      <c r="G56" s="17">
        <f>+G54+G45</f>
        <v>641026.90955841029</v>
      </c>
      <c r="H56" s="17">
        <f>+H54+H45</f>
        <v>700593.03093979298</v>
      </c>
      <c r="I56" s="17">
        <f t="shared" ref="I56:K56" si="11">+I54+I45</f>
        <v>766363.1295557291</v>
      </c>
      <c r="J56" s="17">
        <f t="shared" si="11"/>
        <v>846428.72431761702</v>
      </c>
      <c r="K56" s="17">
        <f t="shared" si="11"/>
        <v>939782.1037693047</v>
      </c>
    </row>
    <row r="57" spans="1:11" ht="18" x14ac:dyDescent="0.35">
      <c r="A57" s="2" t="s">
        <v>74</v>
      </c>
      <c r="B57" s="2"/>
      <c r="C57" s="2">
        <v>1002406</v>
      </c>
      <c r="D57" s="35">
        <v>1165915</v>
      </c>
      <c r="E57" s="36">
        <v>1321212</v>
      </c>
      <c r="F57" s="17">
        <v>1499665</v>
      </c>
      <c r="G57" s="17">
        <f>+G56+G32+G33+G34</f>
        <v>1631447.5220936914</v>
      </c>
      <c r="H57" s="17">
        <f>+H56+H32+H33+H34</f>
        <v>1807297.2467932021</v>
      </c>
      <c r="I57" s="17">
        <f t="shared" ref="I57:K57" si="12">+I56+I32+I33+I34</f>
        <v>2002226.4997283621</v>
      </c>
      <c r="J57" s="17">
        <f t="shared" si="12"/>
        <v>2226102.9662310393</v>
      </c>
      <c r="K57" s="17">
        <f t="shared" si="12"/>
        <v>2482182.6379918829</v>
      </c>
    </row>
    <row r="58" spans="1:11" ht="15.6" x14ac:dyDescent="0.3">
      <c r="A58" s="4" t="s">
        <v>75</v>
      </c>
      <c r="B58" s="4"/>
      <c r="C58" s="4"/>
      <c r="D58" s="26"/>
      <c r="E58" s="4"/>
      <c r="F58" s="34"/>
    </row>
    <row r="59" spans="1:11" ht="15.6" x14ac:dyDescent="0.3">
      <c r="A59" s="4" t="s">
        <v>76</v>
      </c>
      <c r="B59" s="4" t="s">
        <v>77</v>
      </c>
      <c r="C59" s="4"/>
      <c r="D59" s="26"/>
      <c r="E59" s="4"/>
      <c r="F59" s="34"/>
    </row>
    <row r="60" spans="1:11" x14ac:dyDescent="0.3">
      <c r="G60" s="243"/>
      <c r="H60" s="243"/>
      <c r="I60" s="243"/>
      <c r="J60" s="243"/>
      <c r="K60" s="243"/>
    </row>
    <row r="61" spans="1:11" x14ac:dyDescent="0.3">
      <c r="G61" s="243"/>
    </row>
    <row r="63" spans="1:11" x14ac:dyDescent="0.3">
      <c r="A63" s="271" t="s">
        <v>536</v>
      </c>
      <c r="G63" s="243"/>
      <c r="H63" s="243"/>
      <c r="I63" s="243"/>
      <c r="J63" s="243"/>
      <c r="K63" s="243"/>
    </row>
  </sheetData>
  <phoneticPr fontId="78" type="noConversion"/>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F0812-FFDE-4E4C-8ED1-75292BC9CCAB}">
  <dimension ref="A1:M57"/>
  <sheetViews>
    <sheetView zoomScale="70" zoomScaleNormal="70" workbookViewId="0">
      <selection activeCell="C28" activeCellId="1" sqref="C1:F1 C28:F28"/>
    </sheetView>
  </sheetViews>
  <sheetFormatPr defaultRowHeight="14.4" x14ac:dyDescent="0.3"/>
  <cols>
    <col min="1" max="1" width="80.88671875" style="45" bestFit="1" customWidth="1"/>
    <col min="2" max="2" width="9.33203125" style="45" bestFit="1" customWidth="1"/>
    <col min="3" max="3" width="14.44140625" style="45" bestFit="1" customWidth="1"/>
    <col min="4" max="6" width="12.21875" style="45" bestFit="1" customWidth="1"/>
    <col min="7" max="11" width="14" bestFit="1" customWidth="1"/>
  </cols>
  <sheetData>
    <row r="1" spans="1:11" ht="23.4" x14ac:dyDescent="0.45">
      <c r="A1" s="53" t="s">
        <v>498</v>
      </c>
      <c r="B1" s="53" t="s">
        <v>0</v>
      </c>
      <c r="C1" s="53" t="s">
        <v>114</v>
      </c>
      <c r="D1" s="54" t="s">
        <v>115</v>
      </c>
      <c r="E1" s="54" t="s">
        <v>116</v>
      </c>
      <c r="F1" s="54" t="s">
        <v>117</v>
      </c>
      <c r="G1" s="54" t="str">
        <f>Table18[[#Headers],[2022-23E]]</f>
        <v>2022-23E</v>
      </c>
      <c r="H1" s="54" t="str">
        <f>Table18[[#Headers],[2023-24E]]</f>
        <v>2023-24E</v>
      </c>
      <c r="I1" s="54" t="str">
        <f>Table18[[#Headers],[2024-25E]]</f>
        <v>2024-25E</v>
      </c>
      <c r="J1" s="54" t="str">
        <f>Table18[[#Headers],[2025-26E]]</f>
        <v>2025-26E</v>
      </c>
      <c r="K1" s="54" t="str">
        <f>Table18[[#Headers],[2026-27E]]</f>
        <v>2026-27E</v>
      </c>
    </row>
    <row r="2" spans="1:11" ht="15.6" x14ac:dyDescent="0.3">
      <c r="A2" s="43" t="s">
        <v>118</v>
      </c>
      <c r="B2" s="44" t="s">
        <v>6</v>
      </c>
      <c r="C2" s="44" t="s">
        <v>6</v>
      </c>
      <c r="D2" s="55"/>
      <c r="E2" s="56"/>
      <c r="F2" s="56"/>
    </row>
    <row r="3" spans="1:11" ht="15.6" x14ac:dyDescent="0.3">
      <c r="A3" s="45" t="s">
        <v>119</v>
      </c>
      <c r="B3" s="45" t="s">
        <v>6</v>
      </c>
      <c r="C3" s="595" t="s">
        <v>120</v>
      </c>
      <c r="D3" s="57">
        <v>591778</v>
      </c>
      <c r="E3" s="58">
        <v>467669</v>
      </c>
      <c r="F3" s="58">
        <v>696972</v>
      </c>
    </row>
    <row r="4" spans="1:11" ht="15.6" x14ac:dyDescent="0.3">
      <c r="A4" s="45" t="s">
        <v>121</v>
      </c>
      <c r="B4" s="45" t="s">
        <v>6</v>
      </c>
      <c r="C4" s="595" t="s">
        <v>122</v>
      </c>
      <c r="D4" s="57">
        <v>68219</v>
      </c>
      <c r="E4" s="59">
        <v>71569</v>
      </c>
      <c r="F4" s="59">
        <v>95784</v>
      </c>
    </row>
    <row r="5" spans="1:11" ht="15.6" x14ac:dyDescent="0.3">
      <c r="A5" s="47" t="s">
        <v>123</v>
      </c>
      <c r="B5" s="47" t="s">
        <v>6</v>
      </c>
      <c r="C5" s="596">
        <v>625212</v>
      </c>
      <c r="D5" s="60">
        <v>659997</v>
      </c>
      <c r="E5" s="61">
        <v>539238</v>
      </c>
      <c r="F5" s="61">
        <v>792756</v>
      </c>
    </row>
    <row r="6" spans="1:11" ht="15.6" x14ac:dyDescent="0.3">
      <c r="A6" s="45" t="s">
        <v>124</v>
      </c>
      <c r="B6" s="45" t="s">
        <v>6</v>
      </c>
      <c r="C6" s="595" t="s">
        <v>125</v>
      </c>
      <c r="D6" s="57">
        <v>47560</v>
      </c>
      <c r="E6" s="59">
        <v>52912</v>
      </c>
      <c r="F6" s="59">
        <v>71122</v>
      </c>
    </row>
    <row r="7" spans="1:11" ht="15.6" x14ac:dyDescent="0.3">
      <c r="A7" s="48" t="s">
        <v>126</v>
      </c>
      <c r="B7" s="48" t="s">
        <v>127</v>
      </c>
      <c r="C7" s="596">
        <v>583094</v>
      </c>
      <c r="D7" s="60">
        <v>612437</v>
      </c>
      <c r="E7" s="61">
        <v>486326</v>
      </c>
      <c r="F7" s="61">
        <v>721634</v>
      </c>
      <c r="G7" s="264">
        <f>Table18[[#Totals],[2022-23E]]</f>
        <v>833939.73</v>
      </c>
      <c r="H7" s="264">
        <f>Table18[[#Totals],[2023-24E]]</f>
        <v>955367.74090000009</v>
      </c>
      <c r="I7" s="264">
        <f>Table18[[#Totals],[2024-25E]]</f>
        <v>1097887.7270220001</v>
      </c>
      <c r="J7" s="264">
        <f>Table18[[#Totals],[2025-26E]]</f>
        <v>1265714.4507231254</v>
      </c>
      <c r="K7" s="264">
        <f>Table18[[#Totals],[2026-27E]]</f>
        <v>1463980.5981208044</v>
      </c>
    </row>
    <row r="8" spans="1:11" ht="15.6" x14ac:dyDescent="0.3">
      <c r="A8" s="45" t="s">
        <v>128</v>
      </c>
      <c r="B8" s="45" t="s">
        <v>129</v>
      </c>
      <c r="C8" s="595">
        <v>8386</v>
      </c>
      <c r="D8" s="57">
        <v>13164</v>
      </c>
      <c r="E8" s="59">
        <v>16327</v>
      </c>
      <c r="F8" s="59">
        <v>14947</v>
      </c>
      <c r="G8" s="265">
        <f>revenue!C96</f>
        <v>12350</v>
      </c>
      <c r="H8" s="265">
        <f>revenue!D96</f>
        <v>12350</v>
      </c>
      <c r="I8" s="265">
        <f>revenue!E96</f>
        <v>12350</v>
      </c>
      <c r="J8" s="265">
        <f>revenue!F96</f>
        <v>12350</v>
      </c>
      <c r="K8" s="265">
        <f>revenue!G96</f>
        <v>12350</v>
      </c>
    </row>
    <row r="9" spans="1:11" ht="15.6" x14ac:dyDescent="0.3">
      <c r="A9" s="47" t="s">
        <v>130</v>
      </c>
      <c r="B9" s="47" t="s">
        <v>6</v>
      </c>
      <c r="C9" s="596">
        <v>591480</v>
      </c>
      <c r="D9" s="60">
        <v>625601</v>
      </c>
      <c r="E9" s="61">
        <v>502653</v>
      </c>
      <c r="F9" s="61">
        <v>736581</v>
      </c>
      <c r="G9" s="266">
        <f>SUM(G7:G8)</f>
        <v>846289.73</v>
      </c>
      <c r="H9" s="266">
        <f t="shared" ref="H9:K9" si="0">SUM(H7:H8)</f>
        <v>967717.74090000009</v>
      </c>
      <c r="I9" s="266">
        <f t="shared" si="0"/>
        <v>1110237.7270220001</v>
      </c>
      <c r="J9" s="266">
        <f t="shared" si="0"/>
        <v>1278064.4507231254</v>
      </c>
      <c r="K9" s="266">
        <f t="shared" si="0"/>
        <v>1476330.5981208044</v>
      </c>
    </row>
    <row r="10" spans="1:11" ht="18" x14ac:dyDescent="0.35">
      <c r="A10" s="49" t="s">
        <v>131</v>
      </c>
      <c r="B10" s="44" t="s">
        <v>6</v>
      </c>
      <c r="C10" s="52" t="s">
        <v>6</v>
      </c>
      <c r="D10" s="62"/>
      <c r="E10" s="63"/>
      <c r="F10" s="63"/>
      <c r="G10" s="63"/>
      <c r="H10" s="63"/>
      <c r="I10" s="63"/>
      <c r="J10" s="63"/>
      <c r="K10" s="63"/>
    </row>
    <row r="11" spans="1:11" ht="15.6" x14ac:dyDescent="0.3">
      <c r="A11" s="45" t="s">
        <v>132</v>
      </c>
      <c r="B11" s="45" t="s">
        <v>6</v>
      </c>
      <c r="C11" s="46">
        <v>275237</v>
      </c>
      <c r="D11" s="57">
        <v>260621</v>
      </c>
      <c r="E11" s="58">
        <v>199915</v>
      </c>
      <c r="F11" s="58">
        <v>360784</v>
      </c>
      <c r="G11" s="265">
        <f>expenses!H5</f>
        <v>375272.87849999999</v>
      </c>
      <c r="H11" s="265">
        <f>expenses!I5</f>
        <v>429915.48340500006</v>
      </c>
      <c r="I11" s="265">
        <f>expenses!J5</f>
        <v>494049.47715990007</v>
      </c>
      <c r="J11" s="265">
        <f>expenses!K5</f>
        <v>569571.50282540638</v>
      </c>
      <c r="K11" s="265">
        <f>expenses!L5</f>
        <v>658791.26915436203</v>
      </c>
    </row>
    <row r="12" spans="1:11" ht="15.6" x14ac:dyDescent="0.3">
      <c r="A12" s="45" t="s">
        <v>133</v>
      </c>
      <c r="B12" s="45" t="s">
        <v>6</v>
      </c>
      <c r="C12" s="46">
        <v>123930</v>
      </c>
      <c r="D12" s="57">
        <v>149667</v>
      </c>
      <c r="E12" s="58">
        <v>101850</v>
      </c>
      <c r="F12" s="58">
        <v>135585</v>
      </c>
      <c r="G12" s="265">
        <f>expenses!H7</f>
        <v>183466.74059999999</v>
      </c>
      <c r="H12" s="265">
        <f>expenses!I7</f>
        <v>210180.90299800003</v>
      </c>
      <c r="I12" s="265">
        <f>expenses!J7</f>
        <v>241535.29994484002</v>
      </c>
      <c r="J12" s="265">
        <f>expenses!K7</f>
        <v>278457.17915908759</v>
      </c>
      <c r="K12" s="265">
        <f>expenses!L7</f>
        <v>322075.73158657696</v>
      </c>
    </row>
    <row r="13" spans="1:11" ht="15.6" x14ac:dyDescent="0.3">
      <c r="A13" s="45" t="s">
        <v>134</v>
      </c>
      <c r="B13" s="45" t="s">
        <v>135</v>
      </c>
      <c r="C13" s="46">
        <v>-4680</v>
      </c>
      <c r="D13" s="57">
        <v>-5048</v>
      </c>
      <c r="E13" s="64">
        <v>-9064</v>
      </c>
      <c r="F13" s="64">
        <v>-21457</v>
      </c>
      <c r="G13" s="265">
        <f>+'WORKING CAPITAL'!F8-'WORKING CAPITAL'!G8</f>
        <v>-12295.601075538958</v>
      </c>
      <c r="H13" s="265">
        <f>+'WORKING CAPITAL'!G8-'WORKING CAPITAL'!H8</f>
        <v>-17483.635826059995</v>
      </c>
      <c r="I13" s="265">
        <f>+'WORKING CAPITAL'!H8-'WORKING CAPITAL'!I8</f>
        <v>-20520.533251131186</v>
      </c>
      <c r="J13" s="265">
        <f>+'WORKING CAPITAL'!I8-'WORKING CAPITAL'!J8</f>
        <v>-24164.287114014354</v>
      </c>
      <c r="K13" s="265">
        <f>+'WORKING CAPITAL'!J8-'WORKING CAPITAL'!K8</f>
        <v>-28547.063334436592</v>
      </c>
    </row>
    <row r="14" spans="1:11" ht="15.6" x14ac:dyDescent="0.3">
      <c r="A14" s="45" t="s">
        <v>136</v>
      </c>
      <c r="C14" s="46">
        <v>13885</v>
      </c>
      <c r="D14" s="57">
        <v>14902</v>
      </c>
      <c r="E14" s="59">
        <v>19402</v>
      </c>
      <c r="F14" s="59">
        <v>21672</v>
      </c>
      <c r="G14" s="265">
        <f>expenses!H11</f>
        <v>20848.49325</v>
      </c>
      <c r="H14" s="265">
        <f>expenses!I11</f>
        <v>23884.193522500005</v>
      </c>
      <c r="I14" s="265">
        <f>expenses!J11</f>
        <v>27447.193175550005</v>
      </c>
      <c r="J14" s="265">
        <f>expenses!K11</f>
        <v>31642.861268078137</v>
      </c>
      <c r="K14" s="265">
        <f>expenses!L11</f>
        <v>36599.514953020109</v>
      </c>
    </row>
    <row r="15" spans="1:11" ht="15.6" x14ac:dyDescent="0.3">
      <c r="A15" s="45" t="s">
        <v>137</v>
      </c>
      <c r="B15" s="45" t="s">
        <v>138</v>
      </c>
      <c r="C15" s="46">
        <v>12488</v>
      </c>
      <c r="D15" s="57">
        <v>14075</v>
      </c>
      <c r="E15" s="59">
        <v>14817</v>
      </c>
      <c r="F15" s="59">
        <v>18775</v>
      </c>
      <c r="G15" s="265">
        <f>expenses!H13</f>
        <v>25018.191899999998</v>
      </c>
      <c r="H15" s="265">
        <f>expenses!I13</f>
        <v>28661.032227000003</v>
      </c>
      <c r="I15" s="265">
        <f>expenses!J13</f>
        <v>32936.631810660001</v>
      </c>
      <c r="J15" s="265">
        <f>expenses!K13</f>
        <v>37971.433521693762</v>
      </c>
      <c r="K15" s="265">
        <f>expenses!L13</f>
        <v>43919.417943624132</v>
      </c>
    </row>
    <row r="16" spans="1:11" ht="15.6" x14ac:dyDescent="0.3">
      <c r="A16" s="45" t="s">
        <v>139</v>
      </c>
      <c r="B16" s="45" t="s">
        <v>140</v>
      </c>
      <c r="C16" s="46">
        <v>16495</v>
      </c>
      <c r="D16" s="57">
        <v>22027</v>
      </c>
      <c r="E16" s="59">
        <v>21189</v>
      </c>
      <c r="F16" s="59">
        <v>14584</v>
      </c>
      <c r="G16" s="265">
        <f>debt!B40</f>
        <v>21032.866832842112</v>
      </c>
      <c r="H16" s="265">
        <f>debt!C40</f>
        <v>23300.254600542561</v>
      </c>
      <c r="I16" s="265">
        <f>debt!D40</f>
        <v>26097.979032518473</v>
      </c>
      <c r="J16" s="265">
        <f>debt!E40</f>
        <v>29420.893257005406</v>
      </c>
      <c r="K16" s="265">
        <f>debt!F40</f>
        <v>33348.724629856777</v>
      </c>
    </row>
    <row r="17" spans="1:12" ht="15.6" x14ac:dyDescent="0.3">
      <c r="A17" s="45" t="s">
        <v>141</v>
      </c>
      <c r="B17" s="45" t="s">
        <v>9</v>
      </c>
      <c r="C17" s="46">
        <v>20934</v>
      </c>
      <c r="D17" s="57">
        <v>22203</v>
      </c>
      <c r="E17" s="59">
        <v>26572</v>
      </c>
      <c r="F17" s="59">
        <v>29797</v>
      </c>
      <c r="G17" s="528">
        <f>expenses!H15</f>
        <v>35113.251789473688</v>
      </c>
      <c r="H17" s="528">
        <f>expenses!I15</f>
        <v>36394.961558095238</v>
      </c>
      <c r="I17" s="528">
        <f>expenses!J15</f>
        <v>38187.399200765227</v>
      </c>
      <c r="J17" s="528">
        <f>expenses!K15</f>
        <v>40502.86242314001</v>
      </c>
      <c r="K17" s="528">
        <f>expenses!L15</f>
        <v>43377.202907283092</v>
      </c>
      <c r="L17" s="243"/>
    </row>
    <row r="18" spans="1:12" ht="15.6" x14ac:dyDescent="0.3">
      <c r="A18" s="45" t="s">
        <v>143</v>
      </c>
      <c r="B18" s="45" t="s">
        <v>144</v>
      </c>
      <c r="C18" s="46">
        <v>78067</v>
      </c>
      <c r="D18" s="57">
        <v>89211</v>
      </c>
      <c r="E18" s="59">
        <v>78669</v>
      </c>
      <c r="F18" s="59">
        <v>95815</v>
      </c>
      <c r="G18" s="265">
        <f>expenses!H16</f>
        <v>123307.40636052622</v>
      </c>
      <c r="H18" s="265">
        <f>expenses!I16</f>
        <v>134877.03828140488</v>
      </c>
      <c r="I18" s="265">
        <f>expenses!J16</f>
        <v>155145.1984876449</v>
      </c>
      <c r="J18" s="265">
        <f>expenses!K16</f>
        <v>177752.87743894453</v>
      </c>
      <c r="K18" s="265">
        <f>expenses!L16</f>
        <v>203009.78980144137</v>
      </c>
    </row>
    <row r="19" spans="1:12" ht="15.6" x14ac:dyDescent="0.3">
      <c r="A19" s="47" t="s">
        <v>145</v>
      </c>
      <c r="B19" s="47" t="s">
        <v>6</v>
      </c>
      <c r="C19" s="47" t="s">
        <v>146</v>
      </c>
      <c r="D19" s="60">
        <v>567658</v>
      </c>
      <c r="E19" s="61">
        <v>453350</v>
      </c>
      <c r="F19" s="61">
        <v>655555</v>
      </c>
      <c r="G19" s="266">
        <f>SUM(G11:G18)</f>
        <v>771764.22815730318</v>
      </c>
      <c r="H19" s="266">
        <f t="shared" ref="H19:K19" si="1">SUM(H11:H18)</f>
        <v>869730.23076648288</v>
      </c>
      <c r="I19" s="266">
        <f t="shared" si="1"/>
        <v>994878.64556074736</v>
      </c>
      <c r="J19" s="266">
        <f t="shared" si="1"/>
        <v>1141155.3227793414</v>
      </c>
      <c r="K19" s="266">
        <f t="shared" si="1"/>
        <v>1312574.5876417279</v>
      </c>
    </row>
    <row r="20" spans="1:12" ht="15.6" x14ac:dyDescent="0.3">
      <c r="A20" s="45" t="s">
        <v>147</v>
      </c>
      <c r="B20" s="45" t="s">
        <v>6</v>
      </c>
      <c r="C20" s="46" t="s">
        <v>148</v>
      </c>
      <c r="D20" s="65">
        <v>57943</v>
      </c>
      <c r="E20" s="59">
        <v>49303</v>
      </c>
      <c r="F20" s="59">
        <v>81026</v>
      </c>
      <c r="G20" s="183">
        <f>+G9-G19</f>
        <v>74525.501842696802</v>
      </c>
      <c r="H20" s="183">
        <f t="shared" ref="H20:K20" si="2">+H9-H19</f>
        <v>97987.510133517208</v>
      </c>
      <c r="I20" s="183">
        <f t="shared" si="2"/>
        <v>115359.08146125276</v>
      </c>
      <c r="J20" s="183">
        <f t="shared" si="2"/>
        <v>136909.127943784</v>
      </c>
      <c r="K20" s="183">
        <f t="shared" si="2"/>
        <v>163756.01047907653</v>
      </c>
    </row>
    <row r="21" spans="1:12" ht="15.6" x14ac:dyDescent="0.3">
      <c r="A21" s="45" t="s">
        <v>149</v>
      </c>
      <c r="B21" s="45" t="s">
        <v>6</v>
      </c>
      <c r="C21" s="46" t="s">
        <v>150</v>
      </c>
      <c r="D21" s="66">
        <v>107</v>
      </c>
      <c r="E21" s="67">
        <v>516</v>
      </c>
      <c r="F21" s="67">
        <v>280</v>
      </c>
      <c r="G21" s="277">
        <v>240</v>
      </c>
      <c r="H21" s="277">
        <v>240</v>
      </c>
      <c r="I21" s="277">
        <v>240</v>
      </c>
      <c r="J21" s="277">
        <v>240</v>
      </c>
      <c r="K21" s="277">
        <v>240</v>
      </c>
    </row>
    <row r="22" spans="1:12" ht="15.6" x14ac:dyDescent="0.3">
      <c r="A22" s="43" t="s">
        <v>151</v>
      </c>
      <c r="B22" s="43"/>
      <c r="C22" s="43" t="s">
        <v>152</v>
      </c>
      <c r="D22" s="68">
        <v>58050</v>
      </c>
      <c r="E22" s="69">
        <v>49819</v>
      </c>
      <c r="F22" s="69">
        <v>81306</v>
      </c>
      <c r="G22" s="69">
        <f>+G20+G21</f>
        <v>74765.501842696802</v>
      </c>
      <c r="H22" s="69">
        <f t="shared" ref="H22:K22" si="3">+H20+H21</f>
        <v>98227.510133517208</v>
      </c>
      <c r="I22" s="69">
        <f t="shared" si="3"/>
        <v>115599.08146125276</v>
      </c>
      <c r="J22" s="69">
        <f t="shared" si="3"/>
        <v>137149.127943784</v>
      </c>
      <c r="K22" s="69">
        <f t="shared" si="3"/>
        <v>163996.01047907653</v>
      </c>
    </row>
    <row r="23" spans="1:12" ht="15.6" x14ac:dyDescent="0.3">
      <c r="A23" s="45" t="s">
        <v>153</v>
      </c>
      <c r="B23" s="45" t="s">
        <v>154</v>
      </c>
      <c r="C23" s="46" t="s">
        <v>84</v>
      </c>
      <c r="D23" s="57">
        <v>-4444</v>
      </c>
      <c r="E23" s="59">
        <v>5642</v>
      </c>
      <c r="F23" s="59">
        <v>2836</v>
      </c>
    </row>
    <row r="24" spans="1:12" ht="15.6" x14ac:dyDescent="0.3">
      <c r="A24" s="43" t="s">
        <v>155</v>
      </c>
      <c r="B24" s="43"/>
      <c r="C24" s="43" t="s">
        <v>152</v>
      </c>
      <c r="D24" s="68">
        <v>53606</v>
      </c>
      <c r="E24" s="69">
        <v>55461</v>
      </c>
      <c r="F24" s="69">
        <v>84142</v>
      </c>
      <c r="G24" s="69">
        <f>+G22</f>
        <v>74765.501842696802</v>
      </c>
      <c r="H24" s="69">
        <f t="shared" ref="H24:K24" si="4">+H22</f>
        <v>98227.510133517208</v>
      </c>
      <c r="I24" s="69">
        <f t="shared" si="4"/>
        <v>115599.08146125276</v>
      </c>
      <c r="J24" s="69">
        <f t="shared" si="4"/>
        <v>137149.127943784</v>
      </c>
      <c r="K24" s="69">
        <f t="shared" si="4"/>
        <v>163996.01047907653</v>
      </c>
    </row>
    <row r="25" spans="1:12" ht="15.6" x14ac:dyDescent="0.3">
      <c r="A25" s="45" t="s">
        <v>156</v>
      </c>
      <c r="C25" s="46"/>
      <c r="D25" s="70"/>
      <c r="E25" s="71"/>
      <c r="F25" s="71"/>
    </row>
    <row r="26" spans="1:12" ht="15.6" x14ac:dyDescent="0.3">
      <c r="A26" s="45" t="s">
        <v>157</v>
      </c>
      <c r="B26" s="45" t="s">
        <v>158</v>
      </c>
      <c r="C26" s="46">
        <v>11683</v>
      </c>
      <c r="D26" s="57">
        <v>8630</v>
      </c>
      <c r="E26" s="59">
        <v>2205</v>
      </c>
      <c r="F26" s="59">
        <v>3161</v>
      </c>
      <c r="G26" s="272">
        <f>G24*expenses!$B$29</f>
        <v>18691.3754606742</v>
      </c>
      <c r="H26" s="272">
        <f>H24*expenses!$B$29</f>
        <v>24556.877533379302</v>
      </c>
      <c r="I26" s="272">
        <f>I24*expenses!$B$29</f>
        <v>28899.77036531319</v>
      </c>
      <c r="J26" s="272">
        <f>J24*expenses!$B$29</f>
        <v>34287.281985946</v>
      </c>
      <c r="K26" s="272">
        <f>K24*expenses!$B$29</f>
        <v>40999.002619769133</v>
      </c>
    </row>
    <row r="27" spans="1:12" ht="15.6" x14ac:dyDescent="0.3">
      <c r="A27" s="45" t="s">
        <v>159</v>
      </c>
      <c r="B27" s="45" t="s">
        <v>158</v>
      </c>
      <c r="C27" s="46">
        <v>3707</v>
      </c>
      <c r="D27" s="57">
        <v>5096</v>
      </c>
      <c r="E27" s="72">
        <v>-483</v>
      </c>
      <c r="F27" s="59">
        <v>13136</v>
      </c>
      <c r="G27" s="277"/>
      <c r="H27" s="277"/>
      <c r="I27" s="277"/>
      <c r="J27" s="277"/>
      <c r="K27" s="277"/>
    </row>
    <row r="28" spans="1:12" ht="15.6" x14ac:dyDescent="0.3">
      <c r="A28" s="43" t="s">
        <v>160</v>
      </c>
      <c r="B28" s="43"/>
      <c r="C28" s="43">
        <v>39837</v>
      </c>
      <c r="D28" s="68">
        <v>39880</v>
      </c>
      <c r="E28" s="69">
        <v>53739</v>
      </c>
      <c r="F28" s="69">
        <v>67845</v>
      </c>
      <c r="G28" s="69">
        <f>G24-G26</f>
        <v>56074.126382022601</v>
      </c>
      <c r="H28" s="69">
        <f t="shared" ref="H28:K28" si="5">H24-H26</f>
        <v>73670.632600137906</v>
      </c>
      <c r="I28" s="69">
        <f t="shared" si="5"/>
        <v>86699.311095939571</v>
      </c>
      <c r="J28" s="69">
        <f t="shared" si="5"/>
        <v>102861.845957838</v>
      </c>
      <c r="K28" s="69">
        <f t="shared" si="5"/>
        <v>122997.0078593074</v>
      </c>
    </row>
    <row r="29" spans="1:12" ht="15.6" x14ac:dyDescent="0.3">
      <c r="A29" s="43" t="s">
        <v>161</v>
      </c>
      <c r="C29" s="46"/>
      <c r="D29" s="70"/>
      <c r="E29" s="71"/>
      <c r="F29" s="71"/>
    </row>
    <row r="30" spans="1:12" ht="15.6" x14ac:dyDescent="0.3">
      <c r="A30" s="45" t="s">
        <v>162</v>
      </c>
      <c r="B30" s="45" t="s">
        <v>163</v>
      </c>
      <c r="C30" s="46">
        <v>77470</v>
      </c>
      <c r="D30" s="57">
        <v>22286</v>
      </c>
      <c r="E30" s="59">
        <v>37517</v>
      </c>
      <c r="F30" s="59">
        <v>27533</v>
      </c>
      <c r="G30" s="269">
        <f>AVERAGE(Table_0__2[[#This Row],[2018-19]],E30)</f>
        <v>57493.5</v>
      </c>
      <c r="H30" s="269">
        <v>56250</v>
      </c>
      <c r="I30" s="269">
        <f t="shared" ref="H30:K33" si="6">AVERAGE(G30:H30)</f>
        <v>56871.75</v>
      </c>
      <c r="J30" s="269">
        <f t="shared" si="6"/>
        <v>56560.875</v>
      </c>
      <c r="K30" s="269">
        <f t="shared" si="6"/>
        <v>56716.3125</v>
      </c>
    </row>
    <row r="31" spans="1:12" ht="15.6" x14ac:dyDescent="0.3">
      <c r="A31" s="45" t="s">
        <v>164</v>
      </c>
      <c r="C31" s="46" t="s">
        <v>165</v>
      </c>
      <c r="D31" s="57">
        <v>-1088</v>
      </c>
      <c r="E31" s="64">
        <v>-4605</v>
      </c>
      <c r="F31" s="64">
        <v>-3215</v>
      </c>
      <c r="G31" s="269">
        <f t="shared" ref="G31:G33" si="7">AVERAGE(E31:F31)</f>
        <v>-3910</v>
      </c>
      <c r="H31" s="269">
        <f t="shared" si="6"/>
        <v>-3562.5</v>
      </c>
      <c r="I31" s="269">
        <f t="shared" si="6"/>
        <v>-3736.25</v>
      </c>
      <c r="J31" s="269">
        <f t="shared" si="6"/>
        <v>-3649.375</v>
      </c>
      <c r="K31" s="269">
        <f t="shared" si="6"/>
        <v>-3692.8125</v>
      </c>
    </row>
    <row r="32" spans="1:12" ht="15.6" x14ac:dyDescent="0.3">
      <c r="A32" s="45" t="s">
        <v>166</v>
      </c>
      <c r="B32" s="45" t="s">
        <v>167</v>
      </c>
      <c r="C32" s="46" t="s">
        <v>168</v>
      </c>
      <c r="D32" s="57">
        <v>-7085</v>
      </c>
      <c r="E32" s="59">
        <v>1264</v>
      </c>
      <c r="F32" s="64">
        <v>-2584</v>
      </c>
      <c r="G32" s="269">
        <f t="shared" si="7"/>
        <v>-660</v>
      </c>
      <c r="H32" s="269">
        <f t="shared" si="6"/>
        <v>-1622</v>
      </c>
      <c r="I32" s="269">
        <f t="shared" si="6"/>
        <v>-1141</v>
      </c>
      <c r="J32" s="269">
        <f t="shared" si="6"/>
        <v>-1381.5</v>
      </c>
      <c r="K32" s="269">
        <f t="shared" si="6"/>
        <v>-1261.25</v>
      </c>
    </row>
    <row r="33" spans="1:13" ht="15.6" x14ac:dyDescent="0.3">
      <c r="A33" s="45" t="s">
        <v>169</v>
      </c>
      <c r="C33" s="46" t="s">
        <v>170</v>
      </c>
      <c r="D33" s="57">
        <v>1180</v>
      </c>
      <c r="E33" s="72">
        <v>-378</v>
      </c>
      <c r="F33" s="67">
        <v>526</v>
      </c>
      <c r="G33" s="269">
        <f t="shared" si="7"/>
        <v>74</v>
      </c>
      <c r="H33" s="269">
        <f t="shared" si="6"/>
        <v>300</v>
      </c>
      <c r="I33" s="269">
        <f t="shared" si="6"/>
        <v>187</v>
      </c>
      <c r="J33" s="269">
        <f t="shared" si="6"/>
        <v>243.5</v>
      </c>
      <c r="K33" s="269">
        <f t="shared" si="6"/>
        <v>215.25</v>
      </c>
    </row>
    <row r="34" spans="1:13" ht="15.6" x14ac:dyDescent="0.3">
      <c r="A34" s="43" t="s">
        <v>171</v>
      </c>
      <c r="B34" s="43"/>
      <c r="C34" s="43" t="s">
        <v>172</v>
      </c>
      <c r="D34" s="68">
        <v>15293</v>
      </c>
      <c r="E34" s="69">
        <v>33798</v>
      </c>
      <c r="F34" s="69">
        <v>22260</v>
      </c>
      <c r="G34" s="69">
        <f>SUM(G30:G33)</f>
        <v>52997.5</v>
      </c>
      <c r="H34" s="69">
        <f t="shared" ref="H34:K34" si="8">SUM(H30:H33)</f>
        <v>51365.5</v>
      </c>
      <c r="I34" s="69">
        <f t="shared" si="8"/>
        <v>52181.5</v>
      </c>
      <c r="J34" s="69">
        <f t="shared" si="8"/>
        <v>51773.5</v>
      </c>
      <c r="K34" s="69">
        <f t="shared" si="8"/>
        <v>51977.5</v>
      </c>
    </row>
    <row r="35" spans="1:13" ht="15.6" x14ac:dyDescent="0.3">
      <c r="A35" s="43" t="s">
        <v>173</v>
      </c>
      <c r="B35" s="43"/>
      <c r="C35" s="43" t="s">
        <v>174</v>
      </c>
      <c r="D35" s="68">
        <v>55173</v>
      </c>
      <c r="E35" s="69">
        <v>87537</v>
      </c>
      <c r="F35" s="69">
        <v>90105</v>
      </c>
      <c r="G35" s="69">
        <f>G34+G28</f>
        <v>109071.6263820226</v>
      </c>
      <c r="H35" s="69">
        <f t="shared" ref="H35:K35" si="9">H34+H28</f>
        <v>125036.13260013791</v>
      </c>
      <c r="I35" s="69">
        <f t="shared" si="9"/>
        <v>138880.81109593957</v>
      </c>
      <c r="J35" s="69">
        <f t="shared" si="9"/>
        <v>154635.345957838</v>
      </c>
      <c r="K35" s="69">
        <f t="shared" si="9"/>
        <v>174974.5078593074</v>
      </c>
    </row>
    <row r="36" spans="1:13" ht="15.6" x14ac:dyDescent="0.3">
      <c r="A36" s="50" t="s">
        <v>175</v>
      </c>
      <c r="C36" s="46"/>
      <c r="D36" s="70"/>
      <c r="E36" s="71"/>
      <c r="F36" s="71"/>
      <c r="M36" s="180"/>
    </row>
    <row r="37" spans="1:13" ht="15.6" x14ac:dyDescent="0.3">
      <c r="A37" s="45" t="s">
        <v>176</v>
      </c>
      <c r="B37" s="270"/>
      <c r="C37" s="46" t="s">
        <v>177</v>
      </c>
      <c r="D37" s="57">
        <v>39354</v>
      </c>
      <c r="E37" s="59">
        <v>49128</v>
      </c>
      <c r="F37" s="59">
        <v>60705</v>
      </c>
      <c r="G37" s="272">
        <f>G28*0.9</f>
        <v>50466.713743820343</v>
      </c>
      <c r="H37" s="272">
        <f t="shared" ref="H37:K37" si="10">H28*0.9</f>
        <v>66303.569340124115</v>
      </c>
      <c r="I37" s="272">
        <f t="shared" si="10"/>
        <v>78029.379986345622</v>
      </c>
      <c r="J37" s="272">
        <f t="shared" si="10"/>
        <v>92575.661362054205</v>
      </c>
      <c r="K37" s="272">
        <f t="shared" si="10"/>
        <v>110697.30707337667</v>
      </c>
      <c r="L37" s="277"/>
      <c r="M37" s="180"/>
    </row>
    <row r="38" spans="1:13" ht="15.6" x14ac:dyDescent="0.3">
      <c r="A38" s="45" t="s">
        <v>178</v>
      </c>
      <c r="C38" s="46" t="s">
        <v>179</v>
      </c>
      <c r="D38" s="66">
        <v>526</v>
      </c>
      <c r="E38" s="59">
        <v>4611</v>
      </c>
      <c r="F38" s="59">
        <v>7140</v>
      </c>
      <c r="G38" s="273">
        <f>G28*0.1</f>
        <v>5607.4126382022605</v>
      </c>
      <c r="H38" s="273">
        <f t="shared" ref="H38:K38" si="11">H28*0.1</f>
        <v>7367.0632600137906</v>
      </c>
      <c r="I38" s="273">
        <f t="shared" si="11"/>
        <v>8669.9311095939574</v>
      </c>
      <c r="J38" s="273">
        <f t="shared" si="11"/>
        <v>10286.184595783801</v>
      </c>
      <c r="K38" s="273">
        <f t="shared" si="11"/>
        <v>12299.700785930741</v>
      </c>
      <c r="L38" s="277"/>
    </row>
    <row r="39" spans="1:13" ht="15.6" x14ac:dyDescent="0.3">
      <c r="A39" s="50" t="s">
        <v>180</v>
      </c>
      <c r="C39" s="46"/>
      <c r="D39" s="70"/>
      <c r="E39" s="71"/>
      <c r="F39" s="71"/>
      <c r="G39" s="272"/>
      <c r="H39" s="272"/>
      <c r="I39" s="272"/>
      <c r="J39" s="272"/>
      <c r="K39" s="272"/>
      <c r="L39" s="277"/>
    </row>
    <row r="40" spans="1:13" ht="15.6" x14ac:dyDescent="0.3">
      <c r="A40" s="45" t="s">
        <v>176</v>
      </c>
      <c r="C40" s="46" t="s">
        <v>181</v>
      </c>
      <c r="D40" s="57">
        <v>15311</v>
      </c>
      <c r="E40" s="59">
        <v>33849</v>
      </c>
      <c r="F40" s="59">
        <v>22185</v>
      </c>
      <c r="G40" s="272">
        <f>G34*0.9</f>
        <v>47697.75</v>
      </c>
      <c r="H40" s="272">
        <f t="shared" ref="H40:K40" si="12">H34*0.9</f>
        <v>46228.950000000004</v>
      </c>
      <c r="I40" s="272">
        <f t="shared" si="12"/>
        <v>46963.35</v>
      </c>
      <c r="J40" s="272">
        <f t="shared" si="12"/>
        <v>46596.15</v>
      </c>
      <c r="K40" s="272">
        <f t="shared" si="12"/>
        <v>46779.75</v>
      </c>
      <c r="L40" s="277"/>
    </row>
    <row r="41" spans="1:13" ht="15.6" x14ac:dyDescent="0.3">
      <c r="A41" s="45" t="s">
        <v>178</v>
      </c>
      <c r="C41" s="46" t="s">
        <v>182</v>
      </c>
      <c r="D41" s="66">
        <v>-18</v>
      </c>
      <c r="E41" s="72">
        <v>-51</v>
      </c>
      <c r="F41" s="67">
        <v>75</v>
      </c>
      <c r="G41" s="272">
        <f>G34*0.1</f>
        <v>5299.75</v>
      </c>
      <c r="H41" s="272">
        <f t="shared" ref="H41:K41" si="13">H34*0.1</f>
        <v>5136.55</v>
      </c>
      <c r="I41" s="272">
        <f t="shared" si="13"/>
        <v>5218.1500000000005</v>
      </c>
      <c r="J41" s="272">
        <f t="shared" si="13"/>
        <v>5177.3500000000004</v>
      </c>
      <c r="K41" s="272">
        <f t="shared" si="13"/>
        <v>5197.75</v>
      </c>
      <c r="L41" s="277"/>
    </row>
    <row r="42" spans="1:13" ht="15.6" x14ac:dyDescent="0.3">
      <c r="A42" s="50" t="s">
        <v>183</v>
      </c>
      <c r="C42" s="46"/>
      <c r="D42" s="70"/>
      <c r="E42" s="71"/>
      <c r="F42" s="71"/>
      <c r="G42" s="272"/>
      <c r="H42" s="272"/>
      <c r="I42" s="272"/>
      <c r="J42" s="272"/>
      <c r="K42" s="272"/>
      <c r="L42" s="277"/>
    </row>
    <row r="43" spans="1:13" ht="15.6" x14ac:dyDescent="0.3">
      <c r="A43" s="45" t="s">
        <v>176</v>
      </c>
      <c r="C43" s="46" t="s">
        <v>184</v>
      </c>
      <c r="D43" s="57">
        <v>54665</v>
      </c>
      <c r="E43" s="59">
        <v>82977</v>
      </c>
      <c r="F43" s="59">
        <v>82890</v>
      </c>
      <c r="G43" s="272">
        <f>G35*0.9</f>
        <v>98164.46374382035</v>
      </c>
      <c r="H43" s="272">
        <f t="shared" ref="H43:K43" si="14">H35*0.9</f>
        <v>112532.51934012411</v>
      </c>
      <c r="I43" s="272">
        <f t="shared" si="14"/>
        <v>124992.72998634561</v>
      </c>
      <c r="J43" s="272">
        <f t="shared" si="14"/>
        <v>139171.8113620542</v>
      </c>
      <c r="K43" s="272">
        <f t="shared" si="14"/>
        <v>157477.05707337667</v>
      </c>
      <c r="L43" s="277"/>
    </row>
    <row r="44" spans="1:13" ht="15.6" x14ac:dyDescent="0.3">
      <c r="A44" s="45" t="s">
        <v>178</v>
      </c>
      <c r="C44" s="46" t="s">
        <v>185</v>
      </c>
      <c r="D44" s="66">
        <v>508</v>
      </c>
      <c r="E44" s="59">
        <v>4560</v>
      </c>
      <c r="F44" s="59">
        <v>7215</v>
      </c>
      <c r="G44" s="273">
        <f>G35*0.1</f>
        <v>10907.16263820226</v>
      </c>
      <c r="H44" s="273">
        <f t="shared" ref="H44:J44" si="15">H35*0.1</f>
        <v>12503.613260013792</v>
      </c>
      <c r="I44" s="273">
        <f t="shared" si="15"/>
        <v>13888.081109593957</v>
      </c>
      <c r="J44" s="273">
        <f t="shared" si="15"/>
        <v>15463.5345957838</v>
      </c>
      <c r="K44" s="273">
        <f>K35*0.1</f>
        <v>17497.450785930741</v>
      </c>
      <c r="L44" s="277"/>
    </row>
    <row r="45" spans="1:13" ht="15.6" x14ac:dyDescent="0.3">
      <c r="A45" s="50" t="s">
        <v>186</v>
      </c>
      <c r="C45" s="46"/>
      <c r="D45" s="70"/>
      <c r="E45" s="71"/>
      <c r="F45" s="71"/>
      <c r="G45" s="277"/>
      <c r="H45" s="277"/>
      <c r="I45" s="277"/>
      <c r="J45" s="277"/>
      <c r="K45" s="277"/>
      <c r="L45" s="277"/>
    </row>
    <row r="46" spans="1:13" ht="15.6" x14ac:dyDescent="0.3">
      <c r="A46" s="45" t="s">
        <v>187</v>
      </c>
      <c r="B46" s="45" t="s">
        <v>188</v>
      </c>
      <c r="C46" s="46" t="s">
        <v>189</v>
      </c>
      <c r="D46" s="66">
        <v>63.07</v>
      </c>
      <c r="E46" s="73">
        <v>76.37</v>
      </c>
      <c r="F46" s="73">
        <v>92</v>
      </c>
      <c r="G46" s="243">
        <f>G37/$C$50</f>
        <v>74.59972467674848</v>
      </c>
      <c r="H46" s="243">
        <f t="shared" ref="H46:K46" si="16">H37/$C$50</f>
        <v>98.009710776236687</v>
      </c>
      <c r="I46" s="243">
        <f t="shared" si="16"/>
        <v>115.34276420745842</v>
      </c>
      <c r="J46" s="243">
        <f t="shared" si="16"/>
        <v>136.84502788182439</v>
      </c>
      <c r="K46" s="243">
        <f t="shared" si="16"/>
        <v>163.63238296138456</v>
      </c>
    </row>
    <row r="47" spans="1:13" ht="15.6" x14ac:dyDescent="0.3">
      <c r="A47" s="45" t="s">
        <v>190</v>
      </c>
      <c r="B47" s="45" t="s">
        <v>188</v>
      </c>
      <c r="C47" s="46" t="s">
        <v>189</v>
      </c>
      <c r="D47" s="66">
        <v>70.19</v>
      </c>
      <c r="E47" s="73">
        <v>67.599999999999994</v>
      </c>
      <c r="F47" s="73">
        <v>87.71</v>
      </c>
    </row>
    <row r="48" spans="1:13" ht="15.6" x14ac:dyDescent="0.3">
      <c r="A48" s="45" t="s">
        <v>191</v>
      </c>
      <c r="B48" s="45" t="s">
        <v>188</v>
      </c>
      <c r="C48" s="46" t="s">
        <v>192</v>
      </c>
      <c r="D48" s="66">
        <v>63.06</v>
      </c>
      <c r="E48" s="73">
        <v>75.209999999999994</v>
      </c>
      <c r="F48" s="73">
        <v>90.85</v>
      </c>
    </row>
    <row r="49" spans="1:11" ht="15.6" x14ac:dyDescent="0.3">
      <c r="A49" s="45" t="s">
        <v>193</v>
      </c>
      <c r="B49" s="45" t="s">
        <v>188</v>
      </c>
      <c r="C49" s="46" t="s">
        <v>192</v>
      </c>
      <c r="D49" s="66">
        <v>70.180000000000007</v>
      </c>
      <c r="E49" s="73">
        <v>66.569999999999993</v>
      </c>
      <c r="F49" s="73">
        <v>86.61</v>
      </c>
    </row>
    <row r="50" spans="1:11" ht="15.6" x14ac:dyDescent="0.3">
      <c r="A50" s="45" t="s">
        <v>75</v>
      </c>
      <c r="C50" s="46">
        <v>676.5</v>
      </c>
      <c r="D50" s="70"/>
      <c r="E50" s="71"/>
      <c r="F50" s="71"/>
    </row>
    <row r="51" spans="1:11" ht="15.6" x14ac:dyDescent="0.3">
      <c r="A51" s="45" t="s">
        <v>76</v>
      </c>
      <c r="B51" s="45" t="s">
        <v>77</v>
      </c>
      <c r="C51" s="46"/>
      <c r="D51" s="70"/>
      <c r="E51" s="71"/>
      <c r="F51" s="71">
        <f>F47*C50</f>
        <v>59335.814999999995</v>
      </c>
    </row>
    <row r="52" spans="1:11" x14ac:dyDescent="0.3">
      <c r="E52" s="45">
        <f>644.5</f>
        <v>644.5</v>
      </c>
      <c r="F52" s="45">
        <f>+F37/F47</f>
        <v>692.11036369855208</v>
      </c>
    </row>
    <row r="53" spans="1:11" x14ac:dyDescent="0.3">
      <c r="A53" s="45" t="s">
        <v>535</v>
      </c>
      <c r="E53" s="45">
        <f>E37/E52</f>
        <v>76.226532195500383</v>
      </c>
      <c r="F53" s="45">
        <v>4297</v>
      </c>
      <c r="G53" s="241">
        <f>G35*7%</f>
        <v>7635.0138467415827</v>
      </c>
      <c r="H53" s="241">
        <f t="shared" ref="H53:K53" si="17">H35*7%</f>
        <v>8752.5292820096547</v>
      </c>
      <c r="I53" s="241">
        <f t="shared" si="17"/>
        <v>9721.6567767157703</v>
      </c>
      <c r="J53" s="241">
        <f t="shared" si="17"/>
        <v>10824.474217048661</v>
      </c>
      <c r="K53" s="241">
        <f t="shared" si="17"/>
        <v>12248.215550151519</v>
      </c>
    </row>
    <row r="54" spans="1:11" x14ac:dyDescent="0.3">
      <c r="F54" s="548">
        <f>+C50*F47</f>
        <v>59335.814999999995</v>
      </c>
    </row>
    <row r="57" spans="1:11" x14ac:dyDescent="0.3">
      <c r="F57" s="45">
        <f>92*C50</f>
        <v>62238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DE536-7D7A-43B9-8F24-DA9C092C9DA4}">
  <dimension ref="A1:N54"/>
  <sheetViews>
    <sheetView topLeftCell="B6" workbookViewId="0">
      <selection activeCell="H24" sqref="H24"/>
    </sheetView>
  </sheetViews>
  <sheetFormatPr defaultRowHeight="17.399999999999999" x14ac:dyDescent="0.45"/>
  <cols>
    <col min="1" max="1" width="5" style="285" bestFit="1" customWidth="1"/>
    <col min="2" max="2" width="80.88671875" style="285" bestFit="1" customWidth="1"/>
    <col min="3" max="3" width="8.88671875" style="285"/>
    <col min="4" max="4" width="11.44140625" style="285" customWidth="1"/>
    <col min="5" max="5" width="18.44140625" style="285" hidden="1" customWidth="1"/>
    <col min="6" max="6" width="10.77734375" style="285" customWidth="1"/>
    <col min="7" max="7" width="0" style="285" hidden="1" customWidth="1"/>
    <col min="8" max="8" width="12.33203125" style="285" bestFit="1" customWidth="1"/>
    <col min="9" max="9" width="13" style="285" bestFit="1" customWidth="1"/>
    <col min="10" max="10" width="18" style="284" bestFit="1" customWidth="1"/>
    <col min="11" max="14" width="15.21875" style="284" bestFit="1" customWidth="1"/>
    <col min="15" max="16384" width="8.88671875" style="284"/>
  </cols>
  <sheetData>
    <row r="1" spans="1:14" x14ac:dyDescent="0.45">
      <c r="A1" s="283"/>
      <c r="B1" s="329"/>
      <c r="C1" s="329"/>
      <c r="D1" s="329"/>
      <c r="E1" s="329" t="s">
        <v>115</v>
      </c>
      <c r="F1" s="329"/>
      <c r="G1" s="329"/>
      <c r="H1" s="329"/>
      <c r="I1" s="329"/>
      <c r="J1" s="330"/>
      <c r="K1" s="330"/>
      <c r="L1" s="330"/>
      <c r="M1" s="330"/>
    </row>
    <row r="2" spans="1:14" s="310" customFormat="1" x14ac:dyDescent="0.45">
      <c r="A2" s="289"/>
      <c r="B2" s="331" t="s">
        <v>208</v>
      </c>
      <c r="C2" s="331"/>
      <c r="D2" s="331" t="s">
        <v>114</v>
      </c>
      <c r="E2" s="331"/>
      <c r="F2" s="332" t="s">
        <v>115</v>
      </c>
      <c r="G2" s="331"/>
      <c r="H2" s="331" t="s">
        <v>116</v>
      </c>
      <c r="I2" s="331" t="s">
        <v>117</v>
      </c>
      <c r="J2" s="333" t="str">
        <f>profitloss!G1</f>
        <v>2022-23E</v>
      </c>
      <c r="K2" s="333" t="str">
        <f>profitloss!H1</f>
        <v>2023-24E</v>
      </c>
      <c r="L2" s="333" t="str">
        <f>profitloss!I1</f>
        <v>2024-25E</v>
      </c>
      <c r="M2" s="333" t="str">
        <f>profitloss!J1</f>
        <v>2025-26E</v>
      </c>
      <c r="N2" s="309" t="str">
        <f>profitloss!K1</f>
        <v>2026-27E</v>
      </c>
    </row>
    <row r="3" spans="1:14" ht="34.799999999999997" x14ac:dyDescent="0.45">
      <c r="A3" s="287" t="s">
        <v>209</v>
      </c>
      <c r="B3" s="287" t="s">
        <v>210</v>
      </c>
      <c r="C3" s="287"/>
      <c r="D3" s="311"/>
      <c r="E3" s="311"/>
      <c r="F3" s="312"/>
      <c r="G3" s="313" t="s">
        <v>116</v>
      </c>
      <c r="H3" s="312"/>
      <c r="I3" s="312"/>
      <c r="J3" s="312"/>
      <c r="K3" s="312"/>
      <c r="L3" s="312"/>
      <c r="M3" s="312"/>
      <c r="N3" s="312"/>
    </row>
    <row r="4" spans="1:14" x14ac:dyDescent="0.45">
      <c r="A4" s="285" t="s">
        <v>6</v>
      </c>
      <c r="B4" s="286" t="s">
        <v>211</v>
      </c>
      <c r="D4" s="289" t="s">
        <v>152</v>
      </c>
      <c r="E4" s="289">
        <v>53606</v>
      </c>
      <c r="F4" s="293">
        <v>53606</v>
      </c>
      <c r="G4" s="293">
        <v>55461</v>
      </c>
      <c r="H4" s="295">
        <v>55461</v>
      </c>
      <c r="I4" s="295">
        <v>84142</v>
      </c>
      <c r="J4" s="314">
        <f>profitloss!G24</f>
        <v>74765.501842696802</v>
      </c>
      <c r="K4" s="314">
        <f>profitloss!H24</f>
        <v>98227.510133517208</v>
      </c>
      <c r="L4" s="314">
        <f>profitloss!I24</f>
        <v>115599.08146125276</v>
      </c>
      <c r="M4" s="314">
        <f>profitloss!J24</f>
        <v>137149.127943784</v>
      </c>
      <c r="N4" s="314">
        <f>profitloss!K24</f>
        <v>163996.01047907653</v>
      </c>
    </row>
    <row r="5" spans="1:14" x14ac:dyDescent="0.45">
      <c r="A5" s="285" t="s">
        <v>6</v>
      </c>
      <c r="B5" s="286" t="s">
        <v>212</v>
      </c>
      <c r="D5" s="289"/>
      <c r="E5" s="289"/>
      <c r="F5" s="290"/>
      <c r="G5" s="290"/>
      <c r="H5" s="289"/>
      <c r="I5" s="289"/>
      <c r="J5" s="309"/>
      <c r="K5" s="309"/>
      <c r="L5" s="309"/>
      <c r="M5" s="309"/>
      <c r="N5" s="309"/>
    </row>
    <row r="6" spans="1:14" x14ac:dyDescent="0.45">
      <c r="A6" s="285" t="s">
        <v>6</v>
      </c>
      <c r="B6" s="286" t="s">
        <v>213</v>
      </c>
      <c r="D6" s="289" t="s">
        <v>214</v>
      </c>
      <c r="E6" s="289">
        <v>-107</v>
      </c>
      <c r="F6" s="294">
        <v>-107</v>
      </c>
      <c r="G6" s="294">
        <v>-516</v>
      </c>
      <c r="H6" s="302">
        <v>-516</v>
      </c>
      <c r="I6" s="302">
        <v>-280</v>
      </c>
      <c r="J6" s="309">
        <f>-profitloss!G21</f>
        <v>-240</v>
      </c>
      <c r="K6" s="309">
        <f>-profitloss!H21</f>
        <v>-240</v>
      </c>
      <c r="L6" s="309">
        <f>-profitloss!I21</f>
        <v>-240</v>
      </c>
      <c r="M6" s="309">
        <f>-profitloss!J21</f>
        <v>-240</v>
      </c>
      <c r="N6" s="309">
        <f>-profitloss!K21</f>
        <v>-240</v>
      </c>
    </row>
    <row r="7" spans="1:14" x14ac:dyDescent="0.45">
      <c r="A7" s="285" t="s">
        <v>6</v>
      </c>
      <c r="B7" s="286" t="s">
        <v>215</v>
      </c>
      <c r="D7" s="289" t="s">
        <v>84</v>
      </c>
      <c r="E7" s="289">
        <v>60</v>
      </c>
      <c r="F7" s="294">
        <v>60</v>
      </c>
      <c r="G7" s="294">
        <v>194</v>
      </c>
      <c r="H7" s="291">
        <v>194</v>
      </c>
      <c r="I7" s="291">
        <v>380</v>
      </c>
      <c r="J7" s="309">
        <v>0</v>
      </c>
      <c r="K7" s="309">
        <v>0</v>
      </c>
      <c r="L7" s="309">
        <v>0</v>
      </c>
      <c r="M7" s="309">
        <v>0</v>
      </c>
      <c r="N7" s="309">
        <v>0</v>
      </c>
    </row>
    <row r="8" spans="1:14" x14ac:dyDescent="0.45">
      <c r="A8" s="285" t="s">
        <v>6</v>
      </c>
      <c r="B8" s="286" t="s">
        <v>216</v>
      </c>
      <c r="D8" s="289" t="s">
        <v>217</v>
      </c>
      <c r="E8" s="289">
        <v>247</v>
      </c>
      <c r="F8" s="294">
        <v>247</v>
      </c>
      <c r="G8" s="294">
        <v>47</v>
      </c>
      <c r="H8" s="291">
        <v>47</v>
      </c>
      <c r="I8" s="291">
        <v>40</v>
      </c>
      <c r="J8" s="309">
        <v>0</v>
      </c>
      <c r="K8" s="309">
        <v>0</v>
      </c>
      <c r="L8" s="309">
        <v>0</v>
      </c>
      <c r="M8" s="309">
        <v>0</v>
      </c>
      <c r="N8" s="309">
        <v>0</v>
      </c>
    </row>
    <row r="9" spans="1:14" x14ac:dyDescent="0.45">
      <c r="A9" s="285" t="s">
        <v>6</v>
      </c>
      <c r="B9" s="286" t="s">
        <v>207</v>
      </c>
      <c r="D9" s="289" t="s">
        <v>142</v>
      </c>
      <c r="E9" s="289">
        <v>22203</v>
      </c>
      <c r="F9" s="293">
        <v>22203</v>
      </c>
      <c r="G9" s="293">
        <v>26572</v>
      </c>
      <c r="H9" s="295">
        <v>26572</v>
      </c>
      <c r="I9" s="295">
        <v>29797</v>
      </c>
      <c r="J9" s="315">
        <f>profitloss!G17</f>
        <v>35113.251789473688</v>
      </c>
      <c r="K9" s="315">
        <f>profitloss!H17</f>
        <v>36394.961558095238</v>
      </c>
      <c r="L9" s="315">
        <f>profitloss!I17</f>
        <v>38187.399200765227</v>
      </c>
      <c r="M9" s="315">
        <f>profitloss!J17</f>
        <v>40502.86242314001</v>
      </c>
      <c r="N9" s="315">
        <f>profitloss!K17</f>
        <v>43377.202907283092</v>
      </c>
    </row>
    <row r="10" spans="1:14" x14ac:dyDescent="0.45">
      <c r="A10" s="285" t="s">
        <v>6</v>
      </c>
      <c r="B10" s="286" t="s">
        <v>218</v>
      </c>
      <c r="D10" s="289" t="s">
        <v>219</v>
      </c>
      <c r="E10" s="289">
        <v>107</v>
      </c>
      <c r="F10" s="294">
        <v>107</v>
      </c>
      <c r="G10" s="293">
        <v>-1645</v>
      </c>
      <c r="H10" s="292">
        <v>-1645</v>
      </c>
      <c r="I10" s="295">
        <v>1821</v>
      </c>
      <c r="J10" s="309">
        <v>0</v>
      </c>
      <c r="K10" s="309">
        <v>0</v>
      </c>
      <c r="L10" s="309">
        <v>0</v>
      </c>
      <c r="M10" s="309">
        <v>0</v>
      </c>
      <c r="N10" s="309">
        <v>0</v>
      </c>
    </row>
    <row r="11" spans="1:14" x14ac:dyDescent="0.45">
      <c r="A11" s="285" t="s">
        <v>6</v>
      </c>
      <c r="B11" s="286" t="s">
        <v>220</v>
      </c>
      <c r="D11" s="289" t="s">
        <v>221</v>
      </c>
      <c r="E11" s="289">
        <v>11</v>
      </c>
      <c r="F11" s="294">
        <v>11</v>
      </c>
      <c r="G11" s="294" t="s">
        <v>84</v>
      </c>
      <c r="H11" s="292">
        <v>-4964</v>
      </c>
      <c r="I11" s="292">
        <v>-1352</v>
      </c>
      <c r="J11" s="309">
        <v>0</v>
      </c>
      <c r="K11" s="309">
        <v>0</v>
      </c>
      <c r="L11" s="309">
        <v>0</v>
      </c>
      <c r="M11" s="309">
        <v>0</v>
      </c>
      <c r="N11" s="309">
        <v>0</v>
      </c>
    </row>
    <row r="12" spans="1:14" x14ac:dyDescent="0.45">
      <c r="A12" s="285" t="s">
        <v>6</v>
      </c>
      <c r="B12" s="286" t="s">
        <v>222</v>
      </c>
      <c r="D12" s="289" t="s">
        <v>223</v>
      </c>
      <c r="E12" s="289">
        <v>-2076</v>
      </c>
      <c r="F12" s="293">
        <v>-2064</v>
      </c>
      <c r="G12" s="293">
        <v>-4964</v>
      </c>
      <c r="H12" s="292">
        <v>-5642</v>
      </c>
      <c r="I12" s="292">
        <v>-2836</v>
      </c>
      <c r="J12" s="309">
        <v>0</v>
      </c>
      <c r="K12" s="309">
        <v>0</v>
      </c>
      <c r="L12" s="309">
        <v>0</v>
      </c>
      <c r="M12" s="309">
        <v>0</v>
      </c>
      <c r="N12" s="309">
        <v>0</v>
      </c>
    </row>
    <row r="13" spans="1:14" x14ac:dyDescent="0.45">
      <c r="A13" s="285" t="s">
        <v>6</v>
      </c>
      <c r="B13" s="286" t="s">
        <v>224</v>
      </c>
      <c r="D13" s="289" t="s">
        <v>84</v>
      </c>
      <c r="E13" s="289">
        <v>-948</v>
      </c>
      <c r="F13" s="294">
        <v>-948</v>
      </c>
      <c r="G13" s="293">
        <v>-5642</v>
      </c>
      <c r="H13" s="302">
        <v>-39</v>
      </c>
      <c r="I13" s="302">
        <v>-41</v>
      </c>
      <c r="J13" s="309">
        <v>0</v>
      </c>
      <c r="K13" s="309">
        <v>0</v>
      </c>
      <c r="L13" s="309">
        <v>0</v>
      </c>
      <c r="M13" s="309">
        <v>0</v>
      </c>
      <c r="N13" s="309">
        <v>0</v>
      </c>
    </row>
    <row r="14" spans="1:14" x14ac:dyDescent="0.45">
      <c r="A14" s="285" t="s">
        <v>6</v>
      </c>
      <c r="B14" s="286" t="s">
        <v>225</v>
      </c>
      <c r="D14" s="289" t="s">
        <v>226</v>
      </c>
      <c r="E14" s="289">
        <v>-110</v>
      </c>
      <c r="F14" s="294">
        <v>-100</v>
      </c>
      <c r="G14" s="294">
        <v>-39</v>
      </c>
      <c r="H14" s="292">
        <v>-10366</v>
      </c>
      <c r="I14" s="292">
        <v>-12529</v>
      </c>
      <c r="J14" s="309">
        <f>-profitloss!G8</f>
        <v>-12350</v>
      </c>
      <c r="K14" s="309">
        <f>-profitloss!H8</f>
        <v>-12350</v>
      </c>
      <c r="L14" s="309">
        <f>-profitloss!I8</f>
        <v>-12350</v>
      </c>
      <c r="M14" s="309">
        <f>-profitloss!J8</f>
        <v>-12350</v>
      </c>
      <c r="N14" s="309">
        <f>-profitloss!K8</f>
        <v>-12350</v>
      </c>
    </row>
    <row r="15" spans="1:14" x14ac:dyDescent="0.45">
      <c r="A15" s="285" t="s">
        <v>6</v>
      </c>
      <c r="B15" s="286" t="s">
        <v>227</v>
      </c>
      <c r="D15" s="289" t="s">
        <v>228</v>
      </c>
      <c r="E15" s="289">
        <v>-10317</v>
      </c>
      <c r="F15" s="293">
        <v>-9548</v>
      </c>
      <c r="G15" s="293">
        <v>-10366</v>
      </c>
      <c r="H15" s="295">
        <v>21027</v>
      </c>
      <c r="I15" s="295">
        <v>14584</v>
      </c>
      <c r="J15" s="309"/>
      <c r="K15" s="309"/>
      <c r="L15" s="309"/>
      <c r="M15" s="309"/>
      <c r="N15" s="309"/>
    </row>
    <row r="16" spans="1:14" x14ac:dyDescent="0.45">
      <c r="A16" s="285" t="s">
        <v>6</v>
      </c>
      <c r="B16" s="286" t="s">
        <v>229</v>
      </c>
      <c r="D16" s="289" t="s">
        <v>230</v>
      </c>
      <c r="E16" s="289">
        <v>21880</v>
      </c>
      <c r="F16" s="293">
        <v>21880</v>
      </c>
      <c r="G16" s="293">
        <v>21027</v>
      </c>
      <c r="H16" s="295">
        <v>24668</v>
      </c>
      <c r="I16" s="295">
        <v>29584</v>
      </c>
      <c r="J16" s="315">
        <f>profitloss!G16</f>
        <v>21032.866832842112</v>
      </c>
      <c r="K16" s="315">
        <f>profitloss!H16</f>
        <v>23300.254600542561</v>
      </c>
      <c r="L16" s="315">
        <f>profitloss!I16</f>
        <v>26097.979032518473</v>
      </c>
      <c r="M16" s="315">
        <f>profitloss!J16</f>
        <v>29420.893257005406</v>
      </c>
      <c r="N16" s="315">
        <f>profitloss!K16</f>
        <v>33348.724629856777</v>
      </c>
    </row>
    <row r="17" spans="1:14" x14ac:dyDescent="0.45">
      <c r="A17" s="287" t="s">
        <v>6</v>
      </c>
      <c r="B17" s="287" t="s">
        <v>231</v>
      </c>
      <c r="C17" s="287"/>
      <c r="D17" s="298" t="s">
        <v>232</v>
      </c>
      <c r="E17" s="298">
        <v>84556</v>
      </c>
      <c r="F17" s="308">
        <v>85347</v>
      </c>
      <c r="G17" s="308">
        <v>80129</v>
      </c>
      <c r="H17" s="300">
        <v>80129</v>
      </c>
      <c r="I17" s="288">
        <v>113726</v>
      </c>
      <c r="J17" s="288">
        <f>SUM(J4:J16)</f>
        <v>118321.62046501262</v>
      </c>
      <c r="K17" s="288">
        <f t="shared" ref="K17:N17" si="0">SUM(K4:K16)</f>
        <v>145332.72629215501</v>
      </c>
      <c r="L17" s="288">
        <f t="shared" si="0"/>
        <v>167294.45969453646</v>
      </c>
      <c r="M17" s="288">
        <f t="shared" si="0"/>
        <v>194482.8836239294</v>
      </c>
      <c r="N17" s="288">
        <f t="shared" si="0"/>
        <v>228131.93801621639</v>
      </c>
    </row>
    <row r="18" spans="1:14" x14ac:dyDescent="0.45">
      <c r="A18" s="285" t="s">
        <v>6</v>
      </c>
      <c r="B18" s="286" t="s">
        <v>212</v>
      </c>
      <c r="D18" s="289"/>
      <c r="E18" s="289"/>
      <c r="F18" s="290"/>
      <c r="G18" s="290"/>
      <c r="H18" s="291">
        <v>959</v>
      </c>
      <c r="I18" s="292">
        <v>-14180</v>
      </c>
    </row>
    <row r="19" spans="1:14" x14ac:dyDescent="0.45">
      <c r="A19" s="285" t="s">
        <v>6</v>
      </c>
      <c r="B19" s="286" t="s">
        <v>233</v>
      </c>
      <c r="D19" s="289" t="s">
        <v>234</v>
      </c>
      <c r="E19" s="289">
        <v>-9804</v>
      </c>
      <c r="F19" s="293">
        <v>-13792</v>
      </c>
      <c r="G19" s="294">
        <v>186</v>
      </c>
      <c r="H19" s="292">
        <v>-7769</v>
      </c>
      <c r="I19" s="292">
        <v>-24983</v>
      </c>
      <c r="J19" s="315">
        <f>balancesheet!F22-balancesheet!G22</f>
        <v>-10631.495753424657</v>
      </c>
      <c r="K19" s="315">
        <f>balancesheet!G22-balancesheet!H22</f>
        <v>-4990.1922287671259</v>
      </c>
      <c r="L19" s="315">
        <f>balancesheet!H22-balancesheet!I22</f>
        <v>-5856.9857310411026</v>
      </c>
      <c r="M19" s="315">
        <f>balancesheet!I22-balancesheet!J22</f>
        <v>-6896.9886452517167</v>
      </c>
      <c r="N19" s="315">
        <f>balancesheet!J22-balancesheet!K22</f>
        <v>-8147.9238656580419</v>
      </c>
    </row>
    <row r="20" spans="1:14" x14ac:dyDescent="0.45">
      <c r="A20" s="285" t="s">
        <v>6</v>
      </c>
      <c r="B20" s="286" t="s">
        <v>27</v>
      </c>
      <c r="D20" s="289" t="s">
        <v>235</v>
      </c>
      <c r="E20" s="289">
        <v>-6342</v>
      </c>
      <c r="F20" s="293">
        <v>-6342</v>
      </c>
      <c r="G20" s="293">
        <v>-7769</v>
      </c>
      <c r="H20" s="292">
        <v>-43148</v>
      </c>
      <c r="I20" s="295">
        <v>39888</v>
      </c>
      <c r="J20" s="315">
        <f>balancesheet!F19-balancesheet!G19</f>
        <v>-12295.601075538958</v>
      </c>
      <c r="K20" s="315">
        <f>balancesheet!G19-balancesheet!H19</f>
        <v>-17483.635826059995</v>
      </c>
      <c r="L20" s="315">
        <f>balancesheet!H19-balancesheet!I19</f>
        <v>-20520.533251131186</v>
      </c>
      <c r="M20" s="315">
        <f>balancesheet!I19-balancesheet!J19</f>
        <v>-24164.287114014354</v>
      </c>
      <c r="N20" s="315">
        <f>balancesheet!J19-balancesheet!K19</f>
        <v>-28547.063334436592</v>
      </c>
    </row>
    <row r="21" spans="1:14" x14ac:dyDescent="0.45">
      <c r="A21" s="285" t="s">
        <v>6</v>
      </c>
      <c r="B21" s="286" t="s">
        <v>236</v>
      </c>
      <c r="D21" s="289" t="s">
        <v>237</v>
      </c>
      <c r="E21" s="289">
        <v>38050</v>
      </c>
      <c r="F21" s="293">
        <v>38050</v>
      </c>
      <c r="G21" s="293">
        <v>-43148</v>
      </c>
      <c r="H21" s="292">
        <v>-49958</v>
      </c>
      <c r="I21" s="291">
        <v>725</v>
      </c>
      <c r="J21" s="315">
        <f>balancesheet!G50-balancesheet!F50</f>
        <v>11219.738737357606</v>
      </c>
      <c r="K21" s="315">
        <f>balancesheet!H50-balancesheet!G50</f>
        <v>24833.348009923968</v>
      </c>
      <c r="L21" s="315">
        <f>balancesheet!I50-balancesheet!H50</f>
        <v>29146.886187996948</v>
      </c>
      <c r="M21" s="315">
        <f>balancesheet!J50-balancesheet!I50</f>
        <v>34322.389077653876</v>
      </c>
      <c r="N21" s="315">
        <f>balancesheet!K50-balancesheet!J50</f>
        <v>40547.582064637478</v>
      </c>
    </row>
    <row r="22" spans="1:14" x14ac:dyDescent="0.45">
      <c r="A22" s="285" t="s">
        <v>6</v>
      </c>
      <c r="B22" s="286" t="s">
        <v>238</v>
      </c>
      <c r="D22" s="289" t="s">
        <v>239</v>
      </c>
      <c r="E22" s="289">
        <v>106460</v>
      </c>
      <c r="F22" s="293">
        <v>103263</v>
      </c>
      <c r="G22" s="293">
        <v>29398</v>
      </c>
      <c r="H22" s="295">
        <v>30171</v>
      </c>
      <c r="I22" s="296">
        <v>114451</v>
      </c>
      <c r="J22" s="314">
        <f>SUM(J17:J21)</f>
        <v>106614.26237340661</v>
      </c>
      <c r="K22" s="314">
        <f t="shared" ref="K22:N22" si="1">SUM(K17:K21)</f>
        <v>147692.24624725187</v>
      </c>
      <c r="L22" s="314">
        <f t="shared" si="1"/>
        <v>170063.82690036111</v>
      </c>
      <c r="M22" s="314">
        <f t="shared" si="1"/>
        <v>197743.9969423172</v>
      </c>
      <c r="N22" s="314">
        <f t="shared" si="1"/>
        <v>231984.53288075922</v>
      </c>
    </row>
    <row r="23" spans="1:14" x14ac:dyDescent="0.45">
      <c r="A23" s="285" t="s">
        <v>6</v>
      </c>
      <c r="B23" s="286" t="s">
        <v>240</v>
      </c>
      <c r="D23" s="289" t="s">
        <v>241</v>
      </c>
      <c r="E23" s="289">
        <v>-8386</v>
      </c>
      <c r="F23" s="293">
        <v>-8386</v>
      </c>
      <c r="G23" s="293">
        <v>-3213</v>
      </c>
      <c r="H23" s="292">
        <v>-3213</v>
      </c>
      <c r="I23" s="292">
        <v>-3797</v>
      </c>
      <c r="J23" s="316">
        <f>AVERAGE(H23:I23)</f>
        <v>-3505</v>
      </c>
      <c r="K23" s="316">
        <f t="shared" ref="K23:N23" si="2">AVERAGE(I23:J23)</f>
        <v>-3651</v>
      </c>
      <c r="L23" s="316">
        <f t="shared" si="2"/>
        <v>-3578</v>
      </c>
      <c r="M23" s="316">
        <f t="shared" si="2"/>
        <v>-3614.5</v>
      </c>
      <c r="N23" s="316">
        <f t="shared" si="2"/>
        <v>-3596.25</v>
      </c>
    </row>
    <row r="24" spans="1:14" x14ac:dyDescent="0.45">
      <c r="A24" s="285" t="s">
        <v>6</v>
      </c>
      <c r="B24" s="297" t="s">
        <v>242</v>
      </c>
      <c r="D24" s="289" t="s">
        <v>243</v>
      </c>
      <c r="E24" s="289">
        <v>98074</v>
      </c>
      <c r="F24" s="293">
        <v>94877</v>
      </c>
      <c r="G24" s="293">
        <v>26185</v>
      </c>
      <c r="H24" s="295">
        <v>26958</v>
      </c>
      <c r="I24" s="296">
        <v>110654</v>
      </c>
      <c r="J24" s="317">
        <f>+J22+J23</f>
        <v>103109.26237340661</v>
      </c>
      <c r="K24" s="317">
        <f t="shared" ref="K24:N24" si="3">+K22+K23</f>
        <v>144041.24624725187</v>
      </c>
      <c r="L24" s="317">
        <f t="shared" si="3"/>
        <v>166485.82690036111</v>
      </c>
      <c r="M24" s="317">
        <f t="shared" si="3"/>
        <v>194129.4969423172</v>
      </c>
      <c r="N24" s="317">
        <f t="shared" si="3"/>
        <v>228388.28288075922</v>
      </c>
    </row>
    <row r="25" spans="1:14" x14ac:dyDescent="0.45">
      <c r="A25" s="287" t="s">
        <v>244</v>
      </c>
      <c r="B25" s="287" t="s">
        <v>245</v>
      </c>
      <c r="C25" s="287"/>
      <c r="D25" s="298" t="s">
        <v>6</v>
      </c>
      <c r="E25" s="298"/>
      <c r="F25" s="299"/>
      <c r="G25" s="299"/>
      <c r="H25" s="300"/>
      <c r="I25" s="288"/>
      <c r="J25" s="301"/>
      <c r="K25" s="301"/>
      <c r="L25" s="301"/>
      <c r="M25" s="301"/>
      <c r="N25" s="301"/>
    </row>
    <row r="26" spans="1:14" x14ac:dyDescent="0.45">
      <c r="A26" s="285" t="s">
        <v>6</v>
      </c>
      <c r="B26" s="286" t="s">
        <v>246</v>
      </c>
      <c r="D26" s="289" t="s">
        <v>247</v>
      </c>
      <c r="E26" s="289">
        <v>-76517</v>
      </c>
      <c r="F26" s="293">
        <v>-76517</v>
      </c>
      <c r="G26" s="293">
        <v>-105837</v>
      </c>
      <c r="H26" s="296">
        <v>-105837</v>
      </c>
      <c r="I26" s="296">
        <v>-100145</v>
      </c>
      <c r="J26" s="318">
        <f>-PPE!H86</f>
        <v>-38317.48328421067</v>
      </c>
      <c r="K26" s="318">
        <f>-PPE!I86</f>
        <v>-58953.053485834622</v>
      </c>
      <c r="L26" s="318">
        <f>-PPE!J86</f>
        <v>-69734.301711756852</v>
      </c>
      <c r="M26" s="318">
        <f>-PPE!K86</f>
        <v>-81255.01513693633</v>
      </c>
      <c r="N26" s="318">
        <f>-PPE!L86</f>
        <v>-93965.595428201254</v>
      </c>
    </row>
    <row r="27" spans="1:14" x14ac:dyDescent="0.45">
      <c r="A27" s="285" t="s">
        <v>6</v>
      </c>
      <c r="B27" s="286" t="s">
        <v>248</v>
      </c>
      <c r="D27" s="289" t="s">
        <v>249</v>
      </c>
      <c r="E27" s="289">
        <v>964</v>
      </c>
      <c r="F27" s="294">
        <v>964</v>
      </c>
      <c r="G27" s="293">
        <v>2319</v>
      </c>
      <c r="H27" s="295">
        <v>2319</v>
      </c>
      <c r="I27" s="295">
        <v>3137</v>
      </c>
      <c r="J27" s="310">
        <v>0</v>
      </c>
      <c r="K27" s="310">
        <v>0</v>
      </c>
      <c r="L27" s="310">
        <v>0</v>
      </c>
      <c r="M27" s="310">
        <v>0</v>
      </c>
      <c r="N27" s="310">
        <v>0</v>
      </c>
    </row>
    <row r="28" spans="1:14" x14ac:dyDescent="0.45">
      <c r="A28" s="285" t="s">
        <v>6</v>
      </c>
      <c r="B28" s="286" t="s">
        <v>250</v>
      </c>
      <c r="D28" s="289" t="s">
        <v>251</v>
      </c>
      <c r="E28" s="289">
        <v>-1159270</v>
      </c>
      <c r="F28" s="293">
        <v>-1156843</v>
      </c>
      <c r="G28" s="293">
        <v>-689866</v>
      </c>
      <c r="H28" s="296">
        <v>-689866</v>
      </c>
      <c r="I28" s="296">
        <v>-667878</v>
      </c>
      <c r="J28" s="318">
        <f>-debt!B27-debt!B28</f>
        <v>-60793.200000000012</v>
      </c>
      <c r="K28" s="318">
        <f>-debt!C27-debt!C28</f>
        <v>-68675.039999999979</v>
      </c>
      <c r="L28" s="318">
        <f>-debt!D27-debt!D28</f>
        <v>-82410.047999999952</v>
      </c>
      <c r="M28" s="318">
        <f>-debt!E27-debt!E28</f>
        <v>-98892.057599999942</v>
      </c>
      <c r="N28" s="318">
        <f>-debt!F27-debt!F28</f>
        <v>-118670.46911999991</v>
      </c>
    </row>
    <row r="29" spans="1:14" x14ac:dyDescent="0.45">
      <c r="A29" s="285" t="s">
        <v>6</v>
      </c>
      <c r="B29" s="286" t="s">
        <v>252</v>
      </c>
      <c r="D29" s="289" t="s">
        <v>253</v>
      </c>
      <c r="E29" s="289">
        <v>1173330</v>
      </c>
      <c r="F29" s="293">
        <v>1173329</v>
      </c>
      <c r="G29" s="293">
        <v>642551</v>
      </c>
      <c r="H29" s="296">
        <v>642551</v>
      </c>
      <c r="I29" s="296">
        <v>668137</v>
      </c>
      <c r="J29" s="310"/>
      <c r="K29" s="310"/>
      <c r="L29" s="310"/>
      <c r="M29" s="310"/>
      <c r="N29" s="310"/>
    </row>
    <row r="30" spans="1:14" x14ac:dyDescent="0.45">
      <c r="A30" s="285" t="s">
        <v>6</v>
      </c>
      <c r="B30" s="286" t="s">
        <v>254</v>
      </c>
      <c r="D30" s="289" t="s">
        <v>84</v>
      </c>
      <c r="E30" s="289">
        <v>-16439</v>
      </c>
      <c r="F30" s="293">
        <v>-16439</v>
      </c>
      <c r="G30" s="294" t="s">
        <v>84</v>
      </c>
      <c r="H30" s="296"/>
      <c r="I30" s="296"/>
      <c r="J30" s="310"/>
      <c r="K30" s="310"/>
      <c r="L30" s="310"/>
      <c r="M30" s="310"/>
      <c r="N30" s="310"/>
    </row>
    <row r="31" spans="1:14" x14ac:dyDescent="0.45">
      <c r="A31" s="285" t="s">
        <v>6</v>
      </c>
      <c r="B31" s="286" t="s">
        <v>255</v>
      </c>
      <c r="D31" s="289" t="s">
        <v>256</v>
      </c>
      <c r="E31" s="289">
        <v>650</v>
      </c>
      <c r="F31" s="293">
        <v>1467</v>
      </c>
      <c r="G31" s="294">
        <v>773</v>
      </c>
      <c r="H31" s="302">
        <v>-2</v>
      </c>
      <c r="I31" s="292">
        <v>-19306</v>
      </c>
      <c r="J31" s="310">
        <f>profitloss!G8</f>
        <v>12350</v>
      </c>
      <c r="K31" s="310">
        <f>profitloss!H8</f>
        <v>12350</v>
      </c>
      <c r="L31" s="310">
        <f>profitloss!I8</f>
        <v>12350</v>
      </c>
      <c r="M31" s="310">
        <f>profitloss!J8</f>
        <v>12350</v>
      </c>
      <c r="N31" s="310">
        <f>profitloss!K8</f>
        <v>12350</v>
      </c>
    </row>
    <row r="32" spans="1:14" x14ac:dyDescent="0.45">
      <c r="A32" s="285" t="s">
        <v>6</v>
      </c>
      <c r="B32" s="286" t="s">
        <v>202</v>
      </c>
      <c r="D32" s="289" t="s">
        <v>257</v>
      </c>
      <c r="E32" s="289">
        <v>1477</v>
      </c>
      <c r="F32" s="293">
        <v>1441</v>
      </c>
      <c r="G32" s="293">
        <v>8400</v>
      </c>
      <c r="H32" s="295">
        <v>8400</v>
      </c>
      <c r="I32" s="295">
        <v>5933</v>
      </c>
      <c r="J32" s="310"/>
      <c r="K32" s="310"/>
      <c r="L32" s="310"/>
      <c r="M32" s="310"/>
      <c r="N32" s="310"/>
    </row>
    <row r="33" spans="1:14" x14ac:dyDescent="0.45">
      <c r="A33" s="285" t="s">
        <v>6</v>
      </c>
      <c r="B33" s="286" t="s">
        <v>258</v>
      </c>
      <c r="D33" s="289" t="s">
        <v>19</v>
      </c>
      <c r="E33" s="289">
        <v>18</v>
      </c>
      <c r="F33" s="294">
        <v>18</v>
      </c>
      <c r="G33" s="294">
        <v>26</v>
      </c>
      <c r="H33" s="291">
        <v>26</v>
      </c>
      <c r="I33" s="291">
        <v>18</v>
      </c>
      <c r="J33" s="310"/>
      <c r="K33" s="310"/>
      <c r="L33" s="310"/>
      <c r="M33" s="310"/>
      <c r="N33" s="310"/>
    </row>
    <row r="34" spans="1:14" x14ac:dyDescent="0.45">
      <c r="A34" s="285" t="s">
        <v>6</v>
      </c>
      <c r="B34" s="286" t="s">
        <v>259</v>
      </c>
      <c r="D34" s="289" t="s">
        <v>260</v>
      </c>
      <c r="E34" s="289">
        <v>70</v>
      </c>
      <c r="F34" s="294">
        <v>60</v>
      </c>
      <c r="G34" s="294" t="s">
        <v>84</v>
      </c>
      <c r="H34" s="303" t="s">
        <v>84</v>
      </c>
      <c r="I34" s="291">
        <v>1</v>
      </c>
      <c r="J34" s="310"/>
      <c r="K34" s="310"/>
      <c r="L34" s="310"/>
      <c r="M34" s="310"/>
      <c r="N34" s="310"/>
    </row>
    <row r="35" spans="1:14" x14ac:dyDescent="0.45">
      <c r="A35" s="285" t="s">
        <v>6</v>
      </c>
      <c r="B35" s="297" t="s">
        <v>261</v>
      </c>
      <c r="C35" s="297"/>
      <c r="D35" s="319" t="s">
        <v>262</v>
      </c>
      <c r="E35" s="319">
        <v>-75717</v>
      </c>
      <c r="F35" s="320">
        <v>-72520</v>
      </c>
      <c r="G35" s="320">
        <v>-141634</v>
      </c>
      <c r="H35" s="321">
        <v>-142409</v>
      </c>
      <c r="I35" s="321">
        <v>-110103</v>
      </c>
      <c r="J35" s="318">
        <f>SUM(J26:J34)</f>
        <v>-86760.683284210681</v>
      </c>
      <c r="K35" s="318">
        <f t="shared" ref="K35:N35" si="4">SUM(K26:K34)</f>
        <v>-115278.0934858346</v>
      </c>
      <c r="L35" s="318">
        <f t="shared" si="4"/>
        <v>-139794.3497117568</v>
      </c>
      <c r="M35" s="318">
        <f t="shared" si="4"/>
        <v>-167797.07273693627</v>
      </c>
      <c r="N35" s="318">
        <f t="shared" si="4"/>
        <v>-200286.06454820116</v>
      </c>
    </row>
    <row r="36" spans="1:14" x14ac:dyDescent="0.45">
      <c r="A36" s="287" t="s">
        <v>263</v>
      </c>
      <c r="B36" s="287" t="s">
        <v>264</v>
      </c>
      <c r="C36" s="287"/>
      <c r="D36" s="298" t="s">
        <v>6</v>
      </c>
      <c r="E36" s="298"/>
      <c r="F36" s="298"/>
      <c r="G36" s="298"/>
      <c r="H36" s="298"/>
      <c r="I36" s="298"/>
      <c r="J36" s="307"/>
      <c r="K36" s="307"/>
      <c r="L36" s="307"/>
      <c r="M36" s="307"/>
      <c r="N36" s="307"/>
    </row>
    <row r="37" spans="1:14" x14ac:dyDescent="0.45">
      <c r="A37" s="285" t="s">
        <v>6</v>
      </c>
      <c r="B37" s="286" t="s">
        <v>265</v>
      </c>
      <c r="D37" s="289" t="s">
        <v>266</v>
      </c>
      <c r="E37" s="289">
        <v>18</v>
      </c>
      <c r="F37" s="294">
        <v>18</v>
      </c>
      <c r="G37" s="294">
        <v>5</v>
      </c>
      <c r="H37" s="291">
        <v>5</v>
      </c>
      <c r="I37" s="291">
        <v>5</v>
      </c>
      <c r="J37" s="309">
        <v>0</v>
      </c>
      <c r="K37" s="309">
        <v>0</v>
      </c>
      <c r="L37" s="309">
        <v>0</v>
      </c>
      <c r="M37" s="309">
        <v>0</v>
      </c>
      <c r="N37" s="309">
        <v>0</v>
      </c>
    </row>
    <row r="38" spans="1:14" x14ac:dyDescent="0.45">
      <c r="A38" s="285" t="s">
        <v>6</v>
      </c>
      <c r="B38" s="286" t="s">
        <v>267</v>
      </c>
      <c r="D38" s="289" t="s">
        <v>268</v>
      </c>
      <c r="E38" s="289">
        <v>111</v>
      </c>
      <c r="F38" s="294">
        <v>111</v>
      </c>
      <c r="G38" s="293">
        <v>200382</v>
      </c>
      <c r="H38" s="296">
        <v>200382</v>
      </c>
      <c r="I38" s="291">
        <v>450</v>
      </c>
      <c r="J38" s="309">
        <v>0</v>
      </c>
      <c r="K38" s="309">
        <v>0</v>
      </c>
      <c r="L38" s="309">
        <v>0</v>
      </c>
      <c r="M38" s="309">
        <v>0</v>
      </c>
      <c r="N38" s="309">
        <v>0</v>
      </c>
    </row>
    <row r="39" spans="1:14" x14ac:dyDescent="0.45">
      <c r="B39" s="304" t="s">
        <v>269</v>
      </c>
      <c r="C39" s="305"/>
      <c r="D39" s="289"/>
      <c r="E39" s="289"/>
      <c r="F39" s="294" t="s">
        <v>84</v>
      </c>
      <c r="G39" s="293">
        <v>13210</v>
      </c>
      <c r="H39" s="295">
        <v>13210</v>
      </c>
      <c r="I39" s="295">
        <v>39762</v>
      </c>
      <c r="J39" s="309">
        <v>0</v>
      </c>
      <c r="K39" s="309">
        <v>0</v>
      </c>
      <c r="L39" s="309">
        <v>0</v>
      </c>
      <c r="M39" s="309">
        <v>0</v>
      </c>
      <c r="N39" s="309">
        <v>0</v>
      </c>
    </row>
    <row r="40" spans="1:14" x14ac:dyDescent="0.45">
      <c r="A40" s="285" t="s">
        <v>6</v>
      </c>
      <c r="B40" s="286" t="s">
        <v>270</v>
      </c>
      <c r="D40" s="289" t="s">
        <v>17</v>
      </c>
      <c r="E40" s="289">
        <v>1</v>
      </c>
      <c r="F40" s="294">
        <v>1</v>
      </c>
      <c r="G40" s="294" t="s">
        <v>84</v>
      </c>
      <c r="H40" s="295"/>
      <c r="I40" s="295"/>
      <c r="J40" s="309"/>
      <c r="K40" s="309"/>
      <c r="L40" s="309"/>
      <c r="M40" s="309"/>
      <c r="N40" s="309"/>
    </row>
    <row r="41" spans="1:14" x14ac:dyDescent="0.45">
      <c r="A41" s="285" t="s">
        <v>6</v>
      </c>
      <c r="B41" s="286" t="s">
        <v>271</v>
      </c>
      <c r="D41" s="289" t="s">
        <v>84</v>
      </c>
      <c r="E41" s="289">
        <v>-1062</v>
      </c>
      <c r="F41" s="293">
        <v>-1062</v>
      </c>
      <c r="G41" s="293">
        <v>-1022</v>
      </c>
      <c r="H41" s="292">
        <v>-1022</v>
      </c>
      <c r="I41" s="292">
        <v>-2132</v>
      </c>
      <c r="J41" s="309"/>
      <c r="K41" s="309"/>
      <c r="L41" s="309"/>
      <c r="M41" s="309"/>
      <c r="N41" s="309"/>
    </row>
    <row r="42" spans="1:14" x14ac:dyDescent="0.45">
      <c r="A42" s="285" t="s">
        <v>6</v>
      </c>
      <c r="B42" s="286" t="s">
        <v>272</v>
      </c>
      <c r="D42" s="289" t="s">
        <v>273</v>
      </c>
      <c r="E42" s="289">
        <v>28665</v>
      </c>
      <c r="F42" s="293">
        <v>28665</v>
      </c>
      <c r="G42" s="293">
        <v>33211</v>
      </c>
      <c r="H42" s="295">
        <v>33211</v>
      </c>
      <c r="I42" s="295">
        <v>59343</v>
      </c>
      <c r="J42" s="315">
        <f>debt!B35</f>
        <v>24777.67082105267</v>
      </c>
      <c r="K42" s="315">
        <f>debt!C35</f>
        <v>31907.02337145865</v>
      </c>
      <c r="L42" s="315">
        <f>debt!D35</f>
        <v>38036.087427939201</v>
      </c>
      <c r="M42" s="315">
        <f>debt!E35</f>
        <v>45036.768184234068</v>
      </c>
      <c r="N42" s="315">
        <f>debt!F35</f>
        <v>53159.01613705029</v>
      </c>
    </row>
    <row r="43" spans="1:14" x14ac:dyDescent="0.45">
      <c r="A43" s="285" t="s">
        <v>6</v>
      </c>
      <c r="B43" s="286" t="s">
        <v>274</v>
      </c>
      <c r="D43" s="289" t="s">
        <v>275</v>
      </c>
      <c r="E43" s="289">
        <v>-18179</v>
      </c>
      <c r="F43" s="293">
        <v>-18179</v>
      </c>
      <c r="G43" s="293">
        <v>-87240</v>
      </c>
      <c r="H43" s="292">
        <v>-87240</v>
      </c>
      <c r="I43" s="292">
        <v>-40647</v>
      </c>
      <c r="J43" s="309">
        <v>0</v>
      </c>
      <c r="K43" s="309">
        <v>0</v>
      </c>
      <c r="L43" s="309">
        <v>0</v>
      </c>
      <c r="M43" s="309">
        <v>0</v>
      </c>
      <c r="N43" s="309">
        <v>0</v>
      </c>
    </row>
    <row r="44" spans="1:14" x14ac:dyDescent="0.45">
      <c r="A44" s="285" t="s">
        <v>6</v>
      </c>
      <c r="B44" s="286" t="s">
        <v>276</v>
      </c>
      <c r="D44" s="289" t="s">
        <v>277</v>
      </c>
      <c r="E44" s="289">
        <v>25095</v>
      </c>
      <c r="F44" s="293">
        <v>25095</v>
      </c>
      <c r="G44" s="293">
        <v>-29681</v>
      </c>
      <c r="H44" s="292">
        <v>-29681</v>
      </c>
      <c r="I44" s="292">
        <v>-8846</v>
      </c>
      <c r="J44" s="309">
        <v>0</v>
      </c>
      <c r="K44" s="309">
        <v>0</v>
      </c>
      <c r="L44" s="309">
        <v>0</v>
      </c>
      <c r="M44" s="309">
        <v>0</v>
      </c>
      <c r="N44" s="309"/>
    </row>
    <row r="45" spans="1:14" x14ac:dyDescent="0.45">
      <c r="A45" s="285" t="s">
        <v>6</v>
      </c>
      <c r="B45" s="286" t="s">
        <v>55</v>
      </c>
      <c r="D45" s="289" t="s">
        <v>278</v>
      </c>
      <c r="E45" s="289">
        <v>-1370</v>
      </c>
      <c r="F45" s="293">
        <v>-1370</v>
      </c>
      <c r="G45" s="294">
        <v>-2</v>
      </c>
      <c r="H45" s="292"/>
      <c r="I45" s="292"/>
      <c r="J45" s="309"/>
      <c r="K45" s="309"/>
      <c r="L45" s="309"/>
      <c r="M45" s="309"/>
      <c r="N45" s="309"/>
    </row>
    <row r="46" spans="1:14" x14ac:dyDescent="0.45">
      <c r="A46" s="285" t="s">
        <v>6</v>
      </c>
      <c r="B46" s="286" t="s">
        <v>279</v>
      </c>
      <c r="D46" s="289" t="s">
        <v>280</v>
      </c>
      <c r="E46" s="289">
        <v>-2720</v>
      </c>
      <c r="F46" s="293">
        <v>-2720</v>
      </c>
      <c r="G46" s="293">
        <v>-4700</v>
      </c>
      <c r="H46" s="292">
        <v>-4700</v>
      </c>
      <c r="I46" s="303" t="s">
        <v>84</v>
      </c>
      <c r="J46" s="309">
        <v>0</v>
      </c>
      <c r="K46" s="309"/>
      <c r="L46" s="309"/>
      <c r="M46" s="309"/>
      <c r="N46" s="309"/>
    </row>
    <row r="47" spans="1:14" x14ac:dyDescent="0.45">
      <c r="A47" s="285" t="s">
        <v>6</v>
      </c>
      <c r="B47" s="286" t="s">
        <v>281</v>
      </c>
      <c r="D47" s="289" t="s">
        <v>282</v>
      </c>
      <c r="E47" s="289">
        <v>-4592</v>
      </c>
      <c r="F47" s="293">
        <v>-4592</v>
      </c>
      <c r="G47" s="293">
        <v>-3921</v>
      </c>
      <c r="H47" s="292">
        <v>-3921</v>
      </c>
      <c r="I47" s="292">
        <v>-4297</v>
      </c>
      <c r="J47" s="322">
        <f>-profitloss!G53</f>
        <v>-7635.0138467415827</v>
      </c>
      <c r="K47" s="322">
        <f>-profitloss!H53</f>
        <v>-8752.5292820096547</v>
      </c>
      <c r="L47" s="322">
        <f>-profitloss!I53</f>
        <v>-9721.6567767157703</v>
      </c>
      <c r="M47" s="322">
        <f>-profitloss!J53</f>
        <v>-10824.474217048661</v>
      </c>
      <c r="N47" s="322">
        <f>-profitloss!K53</f>
        <v>-12248.215550151519</v>
      </c>
    </row>
    <row r="48" spans="1:14" x14ac:dyDescent="0.45">
      <c r="A48" s="285" t="s">
        <v>6</v>
      </c>
      <c r="B48" s="286" t="s">
        <v>283</v>
      </c>
      <c r="D48" s="289" t="s">
        <v>284</v>
      </c>
      <c r="E48" s="289">
        <v>-28508</v>
      </c>
      <c r="F48" s="293">
        <v>-28508</v>
      </c>
      <c r="G48" s="293">
        <v>-18340</v>
      </c>
      <c r="H48" s="292">
        <v>-18340</v>
      </c>
      <c r="I48" s="292">
        <v>-26349</v>
      </c>
      <c r="J48" s="315">
        <f>-profitloss!G16</f>
        <v>-21032.866832842112</v>
      </c>
      <c r="K48" s="315">
        <f>-profitloss!H16</f>
        <v>-23300.254600542561</v>
      </c>
      <c r="L48" s="315">
        <f>-profitloss!I16</f>
        <v>-26097.979032518473</v>
      </c>
      <c r="M48" s="315">
        <f>-profitloss!J16</f>
        <v>-29420.893257005406</v>
      </c>
      <c r="N48" s="315">
        <f>-profitloss!K16</f>
        <v>-33348.724629856777</v>
      </c>
    </row>
    <row r="49" spans="1:14" x14ac:dyDescent="0.45">
      <c r="A49" s="285" t="s">
        <v>6</v>
      </c>
      <c r="B49" s="287" t="s">
        <v>285</v>
      </c>
      <c r="C49" s="306"/>
      <c r="D49" s="307" t="s">
        <v>286</v>
      </c>
      <c r="E49" s="307">
        <v>-2541</v>
      </c>
      <c r="F49" s="308">
        <v>-2541</v>
      </c>
      <c r="G49" s="308">
        <v>101902</v>
      </c>
      <c r="H49" s="288">
        <v>101904</v>
      </c>
      <c r="I49" s="300">
        <v>17289</v>
      </c>
      <c r="J49" s="300">
        <f>SUM(J37:J48)</f>
        <v>-3890.2098585310232</v>
      </c>
      <c r="K49" s="300">
        <f t="shared" ref="K49:N49" si="5">SUM(K37:K48)</f>
        <v>-145.76051109356558</v>
      </c>
      <c r="L49" s="300">
        <f t="shared" si="5"/>
        <v>2216.4516187049594</v>
      </c>
      <c r="M49" s="300">
        <f t="shared" si="5"/>
        <v>4791.4007101800053</v>
      </c>
      <c r="N49" s="300">
        <f t="shared" si="5"/>
        <v>7562.0759570419905</v>
      </c>
    </row>
    <row r="50" spans="1:14" x14ac:dyDescent="0.45">
      <c r="A50" s="285" t="s">
        <v>6</v>
      </c>
      <c r="B50" s="297" t="s">
        <v>287</v>
      </c>
      <c r="C50" s="297"/>
      <c r="D50" s="319" t="s">
        <v>288</v>
      </c>
      <c r="E50" s="319">
        <v>19816</v>
      </c>
      <c r="F50" s="320">
        <v>19816</v>
      </c>
      <c r="G50" s="320">
        <v>-13547</v>
      </c>
      <c r="H50" s="323">
        <v>-13547</v>
      </c>
      <c r="I50" s="324">
        <v>17840</v>
      </c>
      <c r="J50" s="324">
        <f>++J24+J35+J49</f>
        <v>12458.36923066491</v>
      </c>
      <c r="K50" s="324">
        <f t="shared" ref="K50:N50" si="6">++K24+K35+K49</f>
        <v>28617.392250323701</v>
      </c>
      <c r="L50" s="324">
        <f t="shared" si="6"/>
        <v>28907.928807309261</v>
      </c>
      <c r="M50" s="324">
        <f t="shared" si="6"/>
        <v>31123.824915560934</v>
      </c>
      <c r="N50" s="324">
        <f t="shared" si="6"/>
        <v>35664.294289600046</v>
      </c>
    </row>
    <row r="51" spans="1:14" x14ac:dyDescent="0.45">
      <c r="A51" s="285" t="s">
        <v>6</v>
      </c>
      <c r="B51" s="297" t="s">
        <v>289</v>
      </c>
      <c r="C51" s="297"/>
      <c r="D51" s="319" t="s">
        <v>290</v>
      </c>
      <c r="E51" s="319">
        <v>11081</v>
      </c>
      <c r="F51" s="320">
        <v>11081</v>
      </c>
      <c r="G51" s="320">
        <v>30920</v>
      </c>
      <c r="H51" s="324">
        <v>30920</v>
      </c>
      <c r="I51" s="324">
        <v>17397</v>
      </c>
      <c r="J51" s="324">
        <f>I53</f>
        <v>36178</v>
      </c>
      <c r="K51" s="324">
        <f t="shared" ref="K51:N51" si="7">J53</f>
        <v>48636.36923066491</v>
      </c>
      <c r="L51" s="324">
        <f t="shared" si="7"/>
        <v>77253.761480988614</v>
      </c>
      <c r="M51" s="324">
        <f t="shared" si="7"/>
        <v>106161.69028829788</v>
      </c>
      <c r="N51" s="324">
        <f t="shared" si="7"/>
        <v>137285.51520385881</v>
      </c>
    </row>
    <row r="52" spans="1:14" x14ac:dyDescent="0.45">
      <c r="A52" s="285" t="s">
        <v>6</v>
      </c>
      <c r="B52" s="297" t="s">
        <v>291</v>
      </c>
      <c r="C52" s="297"/>
      <c r="D52" s="319" t="s">
        <v>292</v>
      </c>
      <c r="E52" s="319">
        <v>23</v>
      </c>
      <c r="F52" s="325">
        <v>23</v>
      </c>
      <c r="G52" s="325">
        <v>24</v>
      </c>
      <c r="H52" s="326">
        <v>24</v>
      </c>
      <c r="I52" s="324">
        <v>941</v>
      </c>
      <c r="J52" s="324"/>
      <c r="K52" s="324"/>
      <c r="L52" s="324"/>
      <c r="M52" s="324"/>
      <c r="N52" s="324"/>
    </row>
    <row r="53" spans="1:14" x14ac:dyDescent="0.45">
      <c r="A53" s="285" t="s">
        <v>6</v>
      </c>
      <c r="B53" s="297" t="s">
        <v>293</v>
      </c>
      <c r="C53" s="297"/>
      <c r="D53" s="319" t="s">
        <v>294</v>
      </c>
      <c r="E53" s="319">
        <v>30920</v>
      </c>
      <c r="F53" s="320">
        <v>30920</v>
      </c>
      <c r="G53" s="320">
        <v>17397</v>
      </c>
      <c r="H53" s="324">
        <v>17397</v>
      </c>
      <c r="I53" s="324">
        <v>36178</v>
      </c>
      <c r="J53" s="324">
        <f>SUM(J50:J52)</f>
        <v>48636.36923066491</v>
      </c>
      <c r="K53" s="324">
        <f t="shared" ref="K53:N53" si="8">SUM(K50:K52)</f>
        <v>77253.761480988614</v>
      </c>
      <c r="L53" s="324">
        <f t="shared" si="8"/>
        <v>106161.69028829788</v>
      </c>
      <c r="M53" s="324">
        <f t="shared" si="8"/>
        <v>137285.51520385881</v>
      </c>
      <c r="N53" s="324">
        <f t="shared" si="8"/>
        <v>172949.80949345886</v>
      </c>
    </row>
    <row r="54" spans="1:14" x14ac:dyDescent="0.45">
      <c r="B54" s="286"/>
    </row>
  </sheetData>
  <phoneticPr fontId="78"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D6C97-DEE7-48F3-91F1-B028AB958B9C}">
  <dimension ref="B3:M63"/>
  <sheetViews>
    <sheetView topLeftCell="A37" zoomScale="123" zoomScaleNormal="123" workbookViewId="0">
      <selection activeCell="K52" sqref="K51:K52"/>
    </sheetView>
  </sheetViews>
  <sheetFormatPr defaultRowHeight="14.4" x14ac:dyDescent="0.3"/>
  <sheetData>
    <row r="3" spans="2:11" x14ac:dyDescent="0.3">
      <c r="B3" t="s">
        <v>820</v>
      </c>
      <c r="K3" t="s">
        <v>821</v>
      </c>
    </row>
    <row r="24" spans="2:11" x14ac:dyDescent="0.3">
      <c r="B24" t="s">
        <v>822</v>
      </c>
      <c r="K24" t="s">
        <v>822</v>
      </c>
    </row>
    <row r="42" spans="2:13" x14ac:dyDescent="0.3">
      <c r="C42" t="s">
        <v>823</v>
      </c>
    </row>
    <row r="43" spans="2:13" x14ac:dyDescent="0.3">
      <c r="B43" t="s">
        <v>694</v>
      </c>
      <c r="C43">
        <v>2020</v>
      </c>
      <c r="D43">
        <v>2021</v>
      </c>
      <c r="E43">
        <v>2022</v>
      </c>
      <c r="F43">
        <v>2023</v>
      </c>
      <c r="G43">
        <v>2024</v>
      </c>
      <c r="H43">
        <v>2025</v>
      </c>
      <c r="I43">
        <v>2026</v>
      </c>
      <c r="J43">
        <v>2027</v>
      </c>
      <c r="M43" t="s">
        <v>824</v>
      </c>
    </row>
    <row r="44" spans="2:13" x14ac:dyDescent="0.3">
      <c r="B44" t="s">
        <v>823</v>
      </c>
      <c r="C44">
        <v>63.07</v>
      </c>
      <c r="D44">
        <v>76.37</v>
      </c>
      <c r="E44">
        <v>92</v>
      </c>
      <c r="F44">
        <v>74.59972467674848</v>
      </c>
      <c r="G44">
        <v>98.009710776236687</v>
      </c>
      <c r="H44">
        <v>115.34276420745842</v>
      </c>
      <c r="I44">
        <v>136.84502788182439</v>
      </c>
      <c r="J44">
        <v>163.63238296138456</v>
      </c>
    </row>
    <row r="63" spans="2:2" x14ac:dyDescent="0.3">
      <c r="B63" t="s">
        <v>825</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98F3C-D385-4FAE-833E-F8415EBA3C69}">
  <dimension ref="A1:AA52"/>
  <sheetViews>
    <sheetView topLeftCell="A30" workbookViewId="0">
      <selection activeCell="A52" sqref="A52"/>
    </sheetView>
  </sheetViews>
  <sheetFormatPr defaultRowHeight="15.6" x14ac:dyDescent="0.3"/>
  <cols>
    <col min="1" max="1" width="6.33203125" style="1" customWidth="1"/>
    <col min="2" max="2" width="25.5546875" style="1" bestFit="1" customWidth="1"/>
    <col min="3" max="3" width="11.21875" style="1" customWidth="1"/>
    <col min="4" max="4" width="14.77734375" style="1" bestFit="1" customWidth="1"/>
    <col min="5" max="5" width="11.21875" style="1" customWidth="1"/>
    <col min="6" max="6" width="11.33203125" style="1" customWidth="1"/>
    <col min="7" max="7" width="10.44140625" style="1" bestFit="1" customWidth="1"/>
    <col min="8" max="8" width="16" style="1" bestFit="1" customWidth="1"/>
    <col min="9" max="10" width="10.44140625" style="1" bestFit="1" customWidth="1"/>
    <col min="11" max="11" width="15.5546875" style="1" bestFit="1" customWidth="1"/>
    <col min="12" max="12" width="9.21875" style="1" bestFit="1" customWidth="1"/>
    <col min="13" max="13" width="10.109375" style="1" bestFit="1" customWidth="1"/>
    <col min="14" max="14" width="9.5546875" style="1" bestFit="1" customWidth="1"/>
    <col min="15" max="15" width="7.109375" style="1" bestFit="1" customWidth="1"/>
    <col min="16" max="16" width="8.33203125" style="1" bestFit="1" customWidth="1"/>
    <col min="17" max="17" width="11.5546875" style="1" bestFit="1" customWidth="1"/>
    <col min="18" max="18" width="8.77734375" style="1" bestFit="1" customWidth="1"/>
    <col min="19" max="19" width="11.109375" style="1" bestFit="1" customWidth="1"/>
    <col min="20" max="20" width="14.77734375" style="1" bestFit="1" customWidth="1"/>
    <col min="21" max="21" width="12.6640625" style="1" bestFit="1" customWidth="1"/>
    <col min="22" max="22" width="13.21875" style="1" customWidth="1"/>
    <col min="23" max="23" width="17.109375" style="1" customWidth="1"/>
    <col min="24" max="24" width="13.77734375" style="1" customWidth="1"/>
    <col min="25" max="25" width="9.5546875" style="1" bestFit="1" customWidth="1"/>
    <col min="26" max="26" width="10.109375" style="1" bestFit="1" customWidth="1"/>
    <col min="27" max="27" width="18.6640625" style="1" customWidth="1"/>
    <col min="28" max="16384" width="8.88671875" style="1"/>
  </cols>
  <sheetData>
    <row r="1" spans="1:27" x14ac:dyDescent="0.3">
      <c r="G1" s="601" t="s">
        <v>418</v>
      </c>
      <c r="H1" s="601"/>
      <c r="I1" s="601"/>
      <c r="J1" s="601"/>
      <c r="K1" s="601"/>
      <c r="L1" s="601"/>
      <c r="M1" s="601"/>
    </row>
    <row r="2" spans="1:27" x14ac:dyDescent="0.3">
      <c r="G2" s="601"/>
      <c r="H2" s="601"/>
      <c r="I2" s="601"/>
      <c r="J2" s="601"/>
      <c r="K2" s="601"/>
      <c r="L2" s="601"/>
      <c r="M2" s="601"/>
    </row>
    <row r="3" spans="1:27" x14ac:dyDescent="0.3">
      <c r="G3" s="1">
        <v>1</v>
      </c>
      <c r="H3" s="193" t="s">
        <v>423</v>
      </c>
    </row>
    <row r="4" spans="1:27" x14ac:dyDescent="0.3">
      <c r="G4" s="1">
        <v>2</v>
      </c>
      <c r="H4" s="190" t="s">
        <v>379</v>
      </c>
    </row>
    <row r="5" spans="1:27" x14ac:dyDescent="0.3">
      <c r="G5" s="1">
        <v>3</v>
      </c>
      <c r="H5" s="190" t="s">
        <v>424</v>
      </c>
    </row>
    <row r="6" spans="1:27" x14ac:dyDescent="0.3">
      <c r="A6" s="80" t="s">
        <v>244</v>
      </c>
      <c r="B6" s="81" t="s">
        <v>45</v>
      </c>
      <c r="C6" s="81"/>
      <c r="D6" s="81"/>
      <c r="E6" s="81"/>
      <c r="F6" s="81"/>
      <c r="G6" s="81"/>
      <c r="H6" s="81"/>
      <c r="I6" s="81"/>
      <c r="J6" s="81"/>
      <c r="K6" s="81"/>
      <c r="L6" s="81"/>
      <c r="M6" s="81"/>
      <c r="N6" s="81"/>
      <c r="O6" s="81"/>
      <c r="P6" s="81"/>
      <c r="Q6" s="81"/>
      <c r="R6" s="81"/>
      <c r="S6" s="81" t="s">
        <v>295</v>
      </c>
    </row>
    <row r="7" spans="1:27" ht="7.8" customHeight="1" x14ac:dyDescent="0.3">
      <c r="A7" s="80"/>
      <c r="B7" s="81"/>
      <c r="C7" s="81"/>
      <c r="D7" s="81"/>
      <c r="E7" s="81"/>
      <c r="F7" s="81"/>
      <c r="G7" s="81"/>
      <c r="H7" s="81"/>
      <c r="I7" s="81"/>
      <c r="J7" s="81"/>
      <c r="K7" s="81"/>
      <c r="L7" s="81"/>
      <c r="M7" s="81"/>
      <c r="N7" s="82"/>
      <c r="O7" s="81"/>
      <c r="P7" s="81"/>
      <c r="Q7" s="81"/>
      <c r="R7" s="81" t="s">
        <v>82</v>
      </c>
      <c r="S7" s="81"/>
    </row>
    <row r="8" spans="1:27" ht="87" customHeight="1" x14ac:dyDescent="0.3">
      <c r="A8" s="80"/>
      <c r="B8" s="165" t="s">
        <v>368</v>
      </c>
      <c r="C8" s="166" t="s">
        <v>296</v>
      </c>
      <c r="D8" s="167" t="s">
        <v>297</v>
      </c>
      <c r="E8" s="167" t="s">
        <v>81</v>
      </c>
      <c r="F8" s="167" t="s">
        <v>308</v>
      </c>
      <c r="G8" s="167" t="s">
        <v>298</v>
      </c>
      <c r="H8" s="167" t="s">
        <v>309</v>
      </c>
      <c r="I8" s="167" t="s">
        <v>82</v>
      </c>
      <c r="J8" s="166" t="s">
        <v>362</v>
      </c>
      <c r="K8" s="166" t="s">
        <v>363</v>
      </c>
      <c r="L8" s="166" t="s">
        <v>364</v>
      </c>
      <c r="M8" s="166" t="s">
        <v>365</v>
      </c>
      <c r="N8" s="166" t="s">
        <v>299</v>
      </c>
      <c r="O8" s="166" t="s">
        <v>300</v>
      </c>
      <c r="P8" s="166" t="s">
        <v>301</v>
      </c>
      <c r="Q8" s="166" t="s">
        <v>366</v>
      </c>
      <c r="R8" s="166" t="s">
        <v>302</v>
      </c>
      <c r="S8" s="171" t="s">
        <v>369</v>
      </c>
      <c r="T8" s="168" t="s">
        <v>370</v>
      </c>
      <c r="U8" s="169" t="s">
        <v>367</v>
      </c>
      <c r="V8" s="170" t="s">
        <v>78</v>
      </c>
      <c r="W8" s="170" t="s">
        <v>79</v>
      </c>
      <c r="X8" s="170" t="s">
        <v>310</v>
      </c>
      <c r="Y8" s="168" t="s">
        <v>371</v>
      </c>
      <c r="Z8" s="169" t="s">
        <v>359</v>
      </c>
      <c r="AA8" s="170" t="s">
        <v>80</v>
      </c>
    </row>
    <row r="9" spans="1:27" x14ac:dyDescent="0.3">
      <c r="A9" s="80"/>
      <c r="B9" s="81"/>
      <c r="C9" s="81"/>
      <c r="D9" s="81"/>
      <c r="E9" s="81"/>
      <c r="F9" s="81"/>
      <c r="G9" s="81"/>
      <c r="H9" s="81"/>
      <c r="I9" s="81"/>
      <c r="J9" s="84"/>
      <c r="K9" s="84"/>
      <c r="L9" s="84"/>
      <c r="M9" s="84"/>
      <c r="N9" s="84"/>
      <c r="O9" s="84"/>
      <c r="P9" s="84"/>
      <c r="Q9" s="84"/>
      <c r="R9" s="84"/>
    </row>
    <row r="10" spans="1:27" x14ac:dyDescent="0.3">
      <c r="A10" s="80"/>
      <c r="B10" s="81" t="s">
        <v>303</v>
      </c>
      <c r="C10" s="81"/>
      <c r="D10" s="81"/>
      <c r="E10" s="81"/>
      <c r="F10" s="81"/>
      <c r="G10" s="81"/>
      <c r="H10" s="81"/>
      <c r="I10" s="81"/>
      <c r="J10" s="84"/>
      <c r="K10" s="84"/>
      <c r="L10" s="84"/>
      <c r="M10" s="84"/>
      <c r="N10" s="84"/>
      <c r="O10" s="84"/>
      <c r="P10" s="84"/>
      <c r="Q10" s="84"/>
      <c r="R10" s="84"/>
    </row>
    <row r="11" spans="1:27" x14ac:dyDescent="0.3">
      <c r="A11" s="80"/>
      <c r="B11" s="81" t="s">
        <v>270</v>
      </c>
      <c r="C11" s="81"/>
      <c r="D11" s="81"/>
      <c r="E11" s="81"/>
      <c r="F11" s="81"/>
      <c r="G11" s="81"/>
      <c r="H11" s="81"/>
      <c r="I11" s="81"/>
      <c r="J11" s="81">
        <v>1</v>
      </c>
      <c r="K11" s="84" t="s">
        <v>84</v>
      </c>
      <c r="L11" s="84" t="s">
        <v>84</v>
      </c>
      <c r="M11" s="84" t="s">
        <v>84</v>
      </c>
      <c r="N11" s="84" t="s">
        <v>84</v>
      </c>
      <c r="O11" s="84" t="s">
        <v>84</v>
      </c>
      <c r="P11" s="84" t="s">
        <v>84</v>
      </c>
      <c r="Q11" s="81">
        <v>-1</v>
      </c>
      <c r="R11" s="84" t="s">
        <v>84</v>
      </c>
    </row>
    <row r="12" spans="1:27" x14ac:dyDescent="0.3">
      <c r="A12" s="80"/>
      <c r="B12" s="81" t="s">
        <v>304</v>
      </c>
      <c r="C12" s="81"/>
      <c r="D12" s="81"/>
      <c r="E12" s="81"/>
      <c r="F12" s="81"/>
      <c r="G12" s="81"/>
      <c r="H12" s="81"/>
      <c r="I12" s="81"/>
      <c r="J12" s="84"/>
      <c r="K12" s="84"/>
      <c r="L12" s="84"/>
      <c r="M12" s="84"/>
      <c r="N12" s="84"/>
      <c r="O12" s="84"/>
      <c r="P12" s="84"/>
      <c r="Q12" s="84"/>
      <c r="R12" s="84"/>
    </row>
    <row r="13" spans="1:27" x14ac:dyDescent="0.3">
      <c r="A13" s="80"/>
      <c r="B13" s="81" t="s">
        <v>83</v>
      </c>
      <c r="C13" s="81"/>
      <c r="D13" s="81"/>
      <c r="E13" s="81"/>
      <c r="F13" s="81"/>
      <c r="G13" s="81"/>
      <c r="H13" s="81"/>
      <c r="I13" s="81"/>
      <c r="J13" s="84" t="s">
        <v>84</v>
      </c>
      <c r="K13" s="84" t="s">
        <v>84</v>
      </c>
      <c r="L13" s="84" t="s">
        <v>84</v>
      </c>
      <c r="M13" s="84" t="s">
        <v>84</v>
      </c>
      <c r="N13" s="84" t="s">
        <v>84</v>
      </c>
      <c r="O13" s="85">
        <v>39843</v>
      </c>
      <c r="P13" s="84" t="s">
        <v>84</v>
      </c>
      <c r="Q13" s="84" t="s">
        <v>84</v>
      </c>
      <c r="R13" s="85">
        <v>39843</v>
      </c>
      <c r="S13" s="86">
        <v>39843</v>
      </c>
      <c r="T13" s="87" t="s">
        <v>84</v>
      </c>
      <c r="U13" s="88" t="s">
        <v>84</v>
      </c>
      <c r="V13" s="87" t="s">
        <v>84</v>
      </c>
      <c r="W13" s="87" t="s">
        <v>84</v>
      </c>
      <c r="X13" s="89">
        <v>-39843</v>
      </c>
    </row>
    <row r="14" spans="1:27" x14ac:dyDescent="0.3">
      <c r="A14" s="80"/>
      <c r="B14" s="81"/>
      <c r="C14" s="81"/>
      <c r="D14" s="81"/>
      <c r="E14" s="81"/>
      <c r="F14" s="81"/>
      <c r="G14" s="81"/>
      <c r="H14" s="81"/>
      <c r="I14" s="81"/>
      <c r="J14" s="84"/>
      <c r="K14" s="84"/>
      <c r="L14" s="84"/>
      <c r="M14" s="84"/>
      <c r="N14" s="84"/>
      <c r="O14" s="84"/>
      <c r="P14" s="84"/>
      <c r="Q14" s="84"/>
      <c r="R14" s="84"/>
    </row>
    <row r="15" spans="1:27" x14ac:dyDescent="0.3">
      <c r="A15" s="80"/>
      <c r="B15" s="164" t="s">
        <v>85</v>
      </c>
      <c r="C15" s="81"/>
      <c r="D15" s="81"/>
      <c r="E15" s="81"/>
      <c r="F15" s="81"/>
      <c r="G15" s="81"/>
      <c r="H15" s="81"/>
      <c r="I15" s="81"/>
      <c r="J15" s="84"/>
      <c r="K15" s="84"/>
      <c r="L15" s="84"/>
      <c r="M15" s="84"/>
      <c r="N15" s="84"/>
      <c r="O15" s="84"/>
      <c r="P15" s="84"/>
      <c r="Q15" s="84"/>
      <c r="R15" s="84"/>
    </row>
    <row r="16" spans="1:27" x14ac:dyDescent="0.3">
      <c r="A16" s="80"/>
      <c r="B16" s="81" t="s">
        <v>86</v>
      </c>
      <c r="C16" s="83">
        <v>291</v>
      </c>
      <c r="D16" s="83" t="s">
        <v>84</v>
      </c>
      <c r="E16" s="83" t="s">
        <v>84</v>
      </c>
      <c r="F16" s="83" t="s">
        <v>84</v>
      </c>
      <c r="G16" s="83" t="s">
        <v>84</v>
      </c>
      <c r="H16" s="83" t="s">
        <v>84</v>
      </c>
      <c r="I16" s="83" t="s">
        <v>84</v>
      </c>
      <c r="J16" s="81">
        <v>291</v>
      </c>
      <c r="K16" s="84" t="s">
        <v>84</v>
      </c>
      <c r="L16" s="84" t="s">
        <v>84</v>
      </c>
      <c r="M16" s="84" t="s">
        <v>84</v>
      </c>
      <c r="N16" s="84" t="s">
        <v>84</v>
      </c>
      <c r="O16" s="84" t="s">
        <v>84</v>
      </c>
      <c r="P16" s="84" t="s">
        <v>84</v>
      </c>
      <c r="Q16" s="84" t="s">
        <v>84</v>
      </c>
      <c r="R16" s="81">
        <v>291</v>
      </c>
      <c r="S16" s="90">
        <v>291</v>
      </c>
      <c r="T16" s="87" t="s">
        <v>84</v>
      </c>
      <c r="U16" s="88" t="s">
        <v>84</v>
      </c>
      <c r="V16" s="87" t="s">
        <v>84</v>
      </c>
      <c r="W16" s="87" t="s">
        <v>84</v>
      </c>
      <c r="X16" s="87" t="s">
        <v>84</v>
      </c>
      <c r="Y16" s="87" t="s">
        <v>84</v>
      </c>
      <c r="Z16" s="88" t="s">
        <v>84</v>
      </c>
      <c r="AA16" s="91">
        <v>291</v>
      </c>
    </row>
    <row r="17" spans="1:27" x14ac:dyDescent="0.3">
      <c r="A17" s="80"/>
      <c r="B17" s="81" t="s">
        <v>87</v>
      </c>
      <c r="C17" s="83">
        <v>14</v>
      </c>
      <c r="D17" s="83" t="s">
        <v>84</v>
      </c>
      <c r="E17" s="83" t="s">
        <v>84</v>
      </c>
      <c r="F17" s="83" t="s">
        <v>84</v>
      </c>
      <c r="G17" s="83">
        <v>40</v>
      </c>
      <c r="H17" s="83" t="s">
        <v>84</v>
      </c>
      <c r="I17" s="83">
        <v>-4</v>
      </c>
      <c r="J17" s="81">
        <v>50</v>
      </c>
      <c r="K17" s="84" t="s">
        <v>84</v>
      </c>
      <c r="L17" s="84" t="s">
        <v>84</v>
      </c>
      <c r="M17" s="84" t="s">
        <v>84</v>
      </c>
      <c r="N17" s="84" t="s">
        <v>84</v>
      </c>
      <c r="O17" s="84" t="s">
        <v>84</v>
      </c>
      <c r="P17" s="84" t="s">
        <v>84</v>
      </c>
      <c r="Q17" s="84" t="s">
        <v>84</v>
      </c>
      <c r="R17" s="81">
        <v>50</v>
      </c>
      <c r="S17" s="90">
        <v>50</v>
      </c>
      <c r="T17" s="87" t="s">
        <v>84</v>
      </c>
      <c r="U17" s="88" t="s">
        <v>84</v>
      </c>
      <c r="V17" s="87" t="s">
        <v>84</v>
      </c>
      <c r="W17" s="87" t="s">
        <v>84</v>
      </c>
      <c r="X17" s="87" t="s">
        <v>84</v>
      </c>
      <c r="Y17" s="87" t="s">
        <v>84</v>
      </c>
      <c r="Z17" s="88" t="s">
        <v>84</v>
      </c>
      <c r="AA17" s="91">
        <v>50</v>
      </c>
    </row>
    <row r="18" spans="1:27" ht="14.4" customHeight="1" x14ac:dyDescent="0.3">
      <c r="A18" s="80"/>
      <c r="B18" s="81" t="s">
        <v>88</v>
      </c>
      <c r="C18" s="92">
        <v>9412</v>
      </c>
      <c r="D18" s="83" t="s">
        <v>84</v>
      </c>
      <c r="E18" s="83" t="s">
        <v>84</v>
      </c>
      <c r="F18" s="83" t="s">
        <v>84</v>
      </c>
      <c r="G18" s="83">
        <v>15</v>
      </c>
      <c r="H18" s="83" t="s">
        <v>84</v>
      </c>
      <c r="I18" s="83" t="s">
        <v>84</v>
      </c>
      <c r="J18" s="85">
        <v>9427</v>
      </c>
      <c r="K18" s="84" t="s">
        <v>84</v>
      </c>
      <c r="L18" s="84" t="s">
        <v>84</v>
      </c>
      <c r="M18" s="81">
        <v>-41</v>
      </c>
      <c r="N18" s="85">
        <v>-3410</v>
      </c>
      <c r="O18" s="84" t="s">
        <v>84</v>
      </c>
      <c r="P18" s="84" t="s">
        <v>84</v>
      </c>
      <c r="Q18" s="84" t="s">
        <v>84</v>
      </c>
      <c r="R18" s="85">
        <v>5976</v>
      </c>
      <c r="S18" s="86">
        <v>5976</v>
      </c>
      <c r="T18" s="87" t="s">
        <v>84</v>
      </c>
      <c r="U18" s="88" t="s">
        <v>84</v>
      </c>
      <c r="V18" s="91">
        <v>524</v>
      </c>
      <c r="W18" s="89">
        <v>-1795</v>
      </c>
      <c r="X18" s="87" t="s">
        <v>84</v>
      </c>
      <c r="Y18" s="87" t="s">
        <v>84</v>
      </c>
      <c r="Z18" s="88" t="s">
        <v>84</v>
      </c>
      <c r="AA18" s="93">
        <v>4705</v>
      </c>
    </row>
    <row r="19" spans="1:27" ht="14.4" customHeight="1" x14ac:dyDescent="0.3">
      <c r="A19" s="80"/>
      <c r="B19" s="81" t="s">
        <v>89</v>
      </c>
      <c r="C19" s="83">
        <v>7</v>
      </c>
      <c r="D19" s="83" t="s">
        <v>84</v>
      </c>
      <c r="E19" s="83" t="s">
        <v>84</v>
      </c>
      <c r="F19" s="83" t="s">
        <v>84</v>
      </c>
      <c r="G19" s="83" t="s">
        <v>84</v>
      </c>
      <c r="H19" s="83">
        <v>11</v>
      </c>
      <c r="I19" s="83" t="s">
        <v>84</v>
      </c>
      <c r="J19" s="81">
        <v>18</v>
      </c>
      <c r="K19" s="84" t="s">
        <v>84</v>
      </c>
      <c r="L19" s="84" t="s">
        <v>84</v>
      </c>
      <c r="M19" s="84" t="s">
        <v>84</v>
      </c>
      <c r="N19" s="84" t="s">
        <v>84</v>
      </c>
      <c r="O19" s="84" t="s">
        <v>84</v>
      </c>
      <c r="P19" s="81">
        <v>719</v>
      </c>
      <c r="Q19" s="84" t="s">
        <v>84</v>
      </c>
      <c r="R19" s="81">
        <v>737</v>
      </c>
      <c r="S19" s="90">
        <v>737</v>
      </c>
      <c r="T19" s="87" t="s">
        <v>84</v>
      </c>
      <c r="U19" s="88" t="s">
        <v>84</v>
      </c>
      <c r="V19" s="87" t="s">
        <v>84</v>
      </c>
      <c r="W19" s="87" t="s">
        <v>84</v>
      </c>
      <c r="X19" s="87" t="s">
        <v>84</v>
      </c>
      <c r="Y19" s="94">
        <v>-303</v>
      </c>
      <c r="Z19" s="88" t="s">
        <v>84</v>
      </c>
      <c r="AA19" s="91">
        <v>434</v>
      </c>
    </row>
    <row r="20" spans="1:27" x14ac:dyDescent="0.3">
      <c r="A20" s="80"/>
      <c r="B20" s="81" t="s">
        <v>90</v>
      </c>
      <c r="C20" s="83">
        <v>484</v>
      </c>
      <c r="D20" s="83" t="s">
        <v>84</v>
      </c>
      <c r="E20" s="83" t="s">
        <v>84</v>
      </c>
      <c r="F20" s="83" t="s">
        <v>84</v>
      </c>
      <c r="G20" s="83">
        <v>77</v>
      </c>
      <c r="H20" s="83" t="s">
        <v>84</v>
      </c>
      <c r="I20" s="83" t="s">
        <v>84</v>
      </c>
      <c r="J20" s="81">
        <v>561</v>
      </c>
      <c r="K20" s="84" t="s">
        <v>84</v>
      </c>
      <c r="L20" s="84" t="s">
        <v>84</v>
      </c>
      <c r="M20" s="81">
        <v>128</v>
      </c>
      <c r="N20" s="84" t="s">
        <v>84</v>
      </c>
      <c r="O20" s="84" t="s">
        <v>84</v>
      </c>
      <c r="P20" s="84" t="s">
        <v>84</v>
      </c>
      <c r="Q20" s="84" t="s">
        <v>84</v>
      </c>
      <c r="R20" s="81">
        <v>689</v>
      </c>
      <c r="S20" s="90">
        <v>689</v>
      </c>
      <c r="T20" s="87" t="s">
        <v>84</v>
      </c>
      <c r="U20" s="88" t="s">
        <v>84</v>
      </c>
      <c r="V20" s="91">
        <v>115</v>
      </c>
      <c r="W20" s="87" t="s">
        <v>84</v>
      </c>
      <c r="X20" s="87" t="s">
        <v>84</v>
      </c>
      <c r="Y20" s="87" t="s">
        <v>84</v>
      </c>
      <c r="Z20" s="88" t="s">
        <v>84</v>
      </c>
      <c r="AA20" s="91">
        <v>804</v>
      </c>
    </row>
    <row r="21" spans="1:27" ht="14.4" customHeight="1" x14ac:dyDescent="0.3">
      <c r="A21" s="80"/>
      <c r="B21" s="81" t="s">
        <v>305</v>
      </c>
      <c r="C21" s="83" t="s">
        <v>84</v>
      </c>
      <c r="D21" s="83" t="s">
        <v>84</v>
      </c>
      <c r="E21" s="83" t="s">
        <v>84</v>
      </c>
      <c r="F21" s="83" t="s">
        <v>84</v>
      </c>
      <c r="G21" s="92">
        <v>5500</v>
      </c>
      <c r="H21" s="83" t="s">
        <v>84</v>
      </c>
      <c r="I21" s="83" t="s">
        <v>84</v>
      </c>
      <c r="J21" s="85">
        <v>5500</v>
      </c>
      <c r="K21" s="84" t="s">
        <v>84</v>
      </c>
      <c r="L21" s="84" t="s">
        <v>84</v>
      </c>
      <c r="M21" s="84">
        <v>-525</v>
      </c>
      <c r="N21" s="84" t="s">
        <v>84</v>
      </c>
      <c r="O21" s="84" t="s">
        <v>84</v>
      </c>
      <c r="P21" s="84" t="s">
        <v>84</v>
      </c>
      <c r="Q21" s="84" t="s">
        <v>84</v>
      </c>
      <c r="R21" s="85">
        <v>4975</v>
      </c>
      <c r="S21" s="86">
        <v>4975</v>
      </c>
      <c r="T21" s="87" t="s">
        <v>84</v>
      </c>
      <c r="U21" s="88" t="s">
        <v>84</v>
      </c>
      <c r="V21" s="172">
        <v>4135</v>
      </c>
      <c r="W21" s="87" t="s">
        <v>84</v>
      </c>
      <c r="X21" s="87" t="s">
        <v>84</v>
      </c>
      <c r="Y21" s="87" t="s">
        <v>84</v>
      </c>
      <c r="Z21" s="88" t="s">
        <v>84</v>
      </c>
      <c r="AA21" s="93">
        <v>9110</v>
      </c>
    </row>
    <row r="22" spans="1:27" x14ac:dyDescent="0.3">
      <c r="A22" s="80"/>
      <c r="B22" s="81" t="s">
        <v>306</v>
      </c>
      <c r="C22" s="83"/>
      <c r="D22" s="83"/>
      <c r="E22" s="83"/>
      <c r="F22" s="83"/>
      <c r="G22" s="83"/>
      <c r="H22" s="83"/>
      <c r="I22" s="83"/>
      <c r="J22" s="84"/>
      <c r="K22" s="84"/>
      <c r="L22" s="84"/>
      <c r="M22" s="84"/>
      <c r="N22" s="84"/>
      <c r="O22" s="84"/>
      <c r="P22" s="84"/>
      <c r="Q22" s="84"/>
      <c r="R22" s="84"/>
      <c r="S22" s="86"/>
      <c r="T22" s="88"/>
      <c r="U22" s="88"/>
      <c r="V22" s="95"/>
      <c r="W22" s="88"/>
      <c r="X22" s="88"/>
      <c r="Y22" s="88"/>
      <c r="Z22" s="88"/>
      <c r="AA22" s="86"/>
    </row>
    <row r="23" spans="1:27" ht="14.4" customHeight="1" x14ac:dyDescent="0.3">
      <c r="A23" s="80"/>
      <c r="B23" s="81" t="s">
        <v>91</v>
      </c>
      <c r="C23" s="92">
        <v>41164</v>
      </c>
      <c r="D23" s="83" t="s">
        <v>84</v>
      </c>
      <c r="E23" s="83" t="s">
        <v>84</v>
      </c>
      <c r="F23" s="83" t="s">
        <v>84</v>
      </c>
      <c r="G23" s="83" t="s">
        <v>84</v>
      </c>
      <c r="H23" s="83">
        <v>24</v>
      </c>
      <c r="I23" s="92">
        <v>20207</v>
      </c>
      <c r="J23" s="85">
        <v>61395</v>
      </c>
      <c r="K23" s="84" t="s">
        <v>84</v>
      </c>
      <c r="L23" s="84" t="s">
        <v>84</v>
      </c>
      <c r="M23" s="84" t="s">
        <v>84</v>
      </c>
      <c r="N23" s="84" t="s">
        <v>84</v>
      </c>
      <c r="O23" s="85">
        <v>13104</v>
      </c>
      <c r="P23" s="81">
        <v>9</v>
      </c>
      <c r="Q23" s="84" t="s">
        <v>84</v>
      </c>
      <c r="R23" s="85">
        <v>74508</v>
      </c>
      <c r="S23" s="86">
        <v>74508</v>
      </c>
      <c r="T23" s="87" t="s">
        <v>84</v>
      </c>
      <c r="U23" s="88" t="s">
        <v>84</v>
      </c>
      <c r="V23" s="87" t="s">
        <v>84</v>
      </c>
      <c r="W23" s="87" t="s">
        <v>84</v>
      </c>
      <c r="X23" s="93">
        <v>39447</v>
      </c>
      <c r="Y23" s="91">
        <v>841</v>
      </c>
      <c r="Z23" s="88" t="s">
        <v>84</v>
      </c>
      <c r="AA23" s="96">
        <v>114796</v>
      </c>
    </row>
    <row r="24" spans="1:27" x14ac:dyDescent="0.3">
      <c r="A24" s="80"/>
      <c r="B24" s="81" t="s">
        <v>92</v>
      </c>
      <c r="C24" s="92">
        <v>255016</v>
      </c>
      <c r="D24" s="83" t="s">
        <v>84</v>
      </c>
      <c r="E24" s="83" t="s">
        <v>84</v>
      </c>
      <c r="F24" s="83" t="s">
        <v>84</v>
      </c>
      <c r="G24" s="83" t="s">
        <v>84</v>
      </c>
      <c r="H24" s="83" t="s">
        <v>84</v>
      </c>
      <c r="I24" s="83" t="s">
        <v>84</v>
      </c>
      <c r="J24" s="85">
        <v>255016</v>
      </c>
      <c r="K24" s="84" t="s">
        <v>84</v>
      </c>
      <c r="L24" s="84" t="s">
        <v>84</v>
      </c>
      <c r="M24" s="84" t="s">
        <v>84</v>
      </c>
      <c r="N24" s="85">
        <v>3410</v>
      </c>
      <c r="O24" s="84" t="s">
        <v>84</v>
      </c>
      <c r="P24" s="84" t="s">
        <v>84</v>
      </c>
      <c r="Q24" s="84" t="s">
        <v>84</v>
      </c>
      <c r="R24" s="85">
        <v>258426</v>
      </c>
      <c r="S24" s="97">
        <v>258426</v>
      </c>
      <c r="T24" s="87" t="s">
        <v>84</v>
      </c>
      <c r="U24" s="88" t="s">
        <v>84</v>
      </c>
      <c r="V24" s="87" t="s">
        <v>84</v>
      </c>
      <c r="W24" s="93">
        <v>1795</v>
      </c>
      <c r="X24" s="87" t="s">
        <v>84</v>
      </c>
      <c r="Y24" s="87" t="s">
        <v>84</v>
      </c>
      <c r="Z24" s="88" t="s">
        <v>84</v>
      </c>
      <c r="AA24" s="96">
        <v>260221</v>
      </c>
    </row>
    <row r="25" spans="1:27" x14ac:dyDescent="0.3">
      <c r="A25" s="80"/>
      <c r="B25" s="81" t="s">
        <v>93</v>
      </c>
      <c r="C25" s="92">
        <v>12330</v>
      </c>
      <c r="D25" s="92">
        <v>39354</v>
      </c>
      <c r="E25" s="92">
        <v>-3852</v>
      </c>
      <c r="F25" s="83">
        <v>-732</v>
      </c>
      <c r="G25" s="92">
        <v>-5632</v>
      </c>
      <c r="H25" s="83" t="s">
        <v>84</v>
      </c>
      <c r="I25" s="92">
        <v>-8496</v>
      </c>
      <c r="J25" s="85">
        <v>32972</v>
      </c>
      <c r="K25" s="85">
        <v>49128</v>
      </c>
      <c r="L25" s="85">
        <v>-3921</v>
      </c>
      <c r="M25" s="81">
        <v>438</v>
      </c>
      <c r="N25" s="84" t="s">
        <v>84</v>
      </c>
      <c r="O25" s="84" t="s">
        <v>84</v>
      </c>
      <c r="P25" s="84" t="s">
        <v>84</v>
      </c>
      <c r="Q25" s="84">
        <v>117442</v>
      </c>
      <c r="R25" s="85">
        <v>196059</v>
      </c>
      <c r="S25" s="97">
        <v>196059</v>
      </c>
      <c r="T25" s="93">
        <v>60705</v>
      </c>
      <c r="U25" s="98">
        <v>-4297</v>
      </c>
      <c r="V25" s="89">
        <v>-4774</v>
      </c>
      <c r="W25" s="87" t="s">
        <v>84</v>
      </c>
      <c r="X25" s="87" t="s">
        <v>84</v>
      </c>
      <c r="Y25" s="87" t="s">
        <v>84</v>
      </c>
      <c r="Z25" s="90">
        <v>258</v>
      </c>
      <c r="AA25" s="96">
        <v>247951</v>
      </c>
    </row>
    <row r="26" spans="1:27" x14ac:dyDescent="0.3">
      <c r="A26" s="80"/>
      <c r="B26" s="81" t="s">
        <v>94</v>
      </c>
      <c r="C26" s="92">
        <v>62466</v>
      </c>
      <c r="D26" s="83">
        <v>15311</v>
      </c>
      <c r="E26" s="83" t="s">
        <v>84</v>
      </c>
      <c r="F26" s="83" t="s">
        <v>84</v>
      </c>
      <c r="G26" s="83" t="s">
        <v>84</v>
      </c>
      <c r="H26" s="83" t="s">
        <v>84</v>
      </c>
      <c r="I26" s="83">
        <v>-181</v>
      </c>
      <c r="J26" s="85">
        <v>77596</v>
      </c>
      <c r="K26" s="84">
        <v>33849</v>
      </c>
      <c r="L26" s="84" t="s">
        <v>84</v>
      </c>
      <c r="M26" s="84" t="s">
        <v>84</v>
      </c>
      <c r="N26" s="84" t="s">
        <v>84</v>
      </c>
      <c r="O26" s="84" t="s">
        <v>84</v>
      </c>
      <c r="P26" s="84" t="s">
        <v>84</v>
      </c>
      <c r="Q26" s="81">
        <v>728</v>
      </c>
      <c r="R26" s="85">
        <v>112173</v>
      </c>
      <c r="S26" s="99">
        <v>112173</v>
      </c>
      <c r="T26" s="173">
        <v>22185</v>
      </c>
      <c r="U26" s="100" t="s">
        <v>84</v>
      </c>
      <c r="V26" s="101" t="s">
        <v>84</v>
      </c>
      <c r="W26" s="101" t="s">
        <v>84</v>
      </c>
      <c r="X26" s="101" t="s">
        <v>84</v>
      </c>
      <c r="Y26" s="101" t="s">
        <v>84</v>
      </c>
      <c r="Z26" s="100" t="s">
        <v>84</v>
      </c>
      <c r="AA26" s="102">
        <v>134358</v>
      </c>
    </row>
    <row r="27" spans="1:27" ht="14.4" customHeight="1" x14ac:dyDescent="0.3">
      <c r="A27" s="80"/>
      <c r="B27" s="81"/>
      <c r="C27" s="81"/>
      <c r="D27" s="81"/>
      <c r="E27" s="81"/>
      <c r="F27" s="81"/>
      <c r="G27" s="81"/>
      <c r="H27" s="81"/>
      <c r="I27" s="81"/>
      <c r="J27" s="84"/>
      <c r="K27" s="84"/>
      <c r="L27" s="84"/>
      <c r="M27" s="84"/>
      <c r="N27" s="84"/>
      <c r="O27" s="84"/>
      <c r="P27" s="84"/>
      <c r="Q27" s="84"/>
      <c r="R27" s="84"/>
    </row>
    <row r="28" spans="1:27" x14ac:dyDescent="0.3">
      <c r="A28" s="80"/>
      <c r="B28" s="81"/>
      <c r="C28" s="81"/>
      <c r="D28" s="81"/>
      <c r="E28" s="81"/>
      <c r="F28" s="81"/>
      <c r="G28" s="81"/>
      <c r="H28" s="81"/>
      <c r="I28" s="81"/>
      <c r="J28" s="84"/>
      <c r="K28" s="84"/>
      <c r="L28" s="84"/>
      <c r="M28" s="84"/>
      <c r="N28" s="84"/>
      <c r="O28" s="84"/>
      <c r="P28" s="84"/>
      <c r="Q28" s="84"/>
      <c r="R28" s="84"/>
    </row>
    <row r="29" spans="1:27" x14ac:dyDescent="0.3">
      <c r="A29" s="80"/>
      <c r="B29" s="81" t="s">
        <v>95</v>
      </c>
      <c r="C29" s="81">
        <f>SUBTOTAL(109,C9:C28)</f>
        <v>381184</v>
      </c>
      <c r="D29" s="81">
        <f t="shared" ref="D29:I29" si="0">SUBTOTAL(109,D9:D28)</f>
        <v>54665</v>
      </c>
      <c r="E29" s="81">
        <f t="shared" si="0"/>
        <v>-3852</v>
      </c>
      <c r="F29" s="81">
        <f t="shared" si="0"/>
        <v>-732</v>
      </c>
      <c r="G29" s="81">
        <f t="shared" si="0"/>
        <v>0</v>
      </c>
      <c r="H29" s="81">
        <f t="shared" si="0"/>
        <v>35</v>
      </c>
      <c r="I29" s="81">
        <f t="shared" si="0"/>
        <v>11526</v>
      </c>
      <c r="J29" s="85">
        <v>442827</v>
      </c>
      <c r="K29" s="85">
        <v>82977</v>
      </c>
      <c r="L29" s="85">
        <v>-3921</v>
      </c>
      <c r="M29" s="84" t="s">
        <v>84</v>
      </c>
      <c r="N29" s="84" t="s">
        <v>84</v>
      </c>
      <c r="O29" s="85">
        <v>52947</v>
      </c>
      <c r="P29" s="81">
        <v>728</v>
      </c>
      <c r="Q29" s="85">
        <v>118169</v>
      </c>
      <c r="R29" s="85">
        <v>693727</v>
      </c>
      <c r="S29" s="103">
        <f>SUM(S9:S26)</f>
        <v>693727</v>
      </c>
      <c r="T29" s="103">
        <f t="shared" ref="T29:AA29" si="1">SUM(T9:T26)</f>
        <v>82890</v>
      </c>
      <c r="U29" s="103">
        <f t="shared" si="1"/>
        <v>-4297</v>
      </c>
      <c r="V29" s="103">
        <f t="shared" si="1"/>
        <v>0</v>
      </c>
      <c r="W29" s="103">
        <f t="shared" si="1"/>
        <v>0</v>
      </c>
      <c r="X29" s="103">
        <f t="shared" si="1"/>
        <v>-396</v>
      </c>
      <c r="Y29" s="103">
        <f t="shared" si="1"/>
        <v>538</v>
      </c>
      <c r="Z29" s="103">
        <f t="shared" si="1"/>
        <v>258</v>
      </c>
      <c r="AA29" s="103">
        <f t="shared" si="1"/>
        <v>772720</v>
      </c>
    </row>
    <row r="30" spans="1:27" x14ac:dyDescent="0.3">
      <c r="A30" s="80"/>
      <c r="B30" s="81"/>
      <c r="C30" s="81"/>
      <c r="D30" s="81"/>
      <c r="E30" s="81"/>
      <c r="F30" s="81"/>
      <c r="G30" s="81"/>
      <c r="H30" s="81"/>
      <c r="I30" s="81"/>
      <c r="J30" s="84"/>
      <c r="K30" s="84"/>
      <c r="L30" s="84"/>
      <c r="M30" s="84"/>
      <c r="N30" s="84"/>
      <c r="O30" s="84"/>
      <c r="P30" s="84"/>
      <c r="Q30" s="84"/>
      <c r="R30" s="84"/>
    </row>
    <row r="31" spans="1:27" x14ac:dyDescent="0.3">
      <c r="B31" s="174"/>
      <c r="C31" s="174"/>
      <c r="D31" s="174"/>
      <c r="E31" s="174"/>
      <c r="F31" s="174"/>
      <c r="G31" s="174"/>
      <c r="H31" s="174"/>
      <c r="I31" s="174"/>
      <c r="J31" s="175"/>
      <c r="K31" s="175"/>
      <c r="L31" s="175"/>
      <c r="M31" s="175"/>
      <c r="N31" s="175"/>
      <c r="O31" s="175"/>
      <c r="P31" s="175"/>
      <c r="Q31" s="175"/>
      <c r="R31" s="175"/>
    </row>
    <row r="33" spans="2:10" x14ac:dyDescent="0.3">
      <c r="B33" s="1" t="s">
        <v>313</v>
      </c>
      <c r="C33" s="1" t="s">
        <v>115</v>
      </c>
      <c r="D33" s="1" t="s">
        <v>116</v>
      </c>
      <c r="E33" s="1" t="s">
        <v>117</v>
      </c>
      <c r="F33" s="1" t="s">
        <v>558</v>
      </c>
      <c r="G33" s="1" t="s">
        <v>559</v>
      </c>
      <c r="H33" s="1" t="s">
        <v>560</v>
      </c>
      <c r="I33" s="1" t="s">
        <v>561</v>
      </c>
      <c r="J33" s="1" t="s">
        <v>562</v>
      </c>
    </row>
    <row r="34" spans="2:10" x14ac:dyDescent="0.3">
      <c r="B34" s="176" t="s">
        <v>372</v>
      </c>
      <c r="C34" s="177">
        <v>381184</v>
      </c>
      <c r="D34" s="1">
        <f>+C40</f>
        <v>442826</v>
      </c>
      <c r="E34" s="103">
        <f>+S29</f>
        <v>693727</v>
      </c>
      <c r="F34" s="103">
        <f>E40</f>
        <v>772720</v>
      </c>
      <c r="G34" s="103">
        <f t="shared" ref="G34:J34" si="2">F40</f>
        <v>864012.9512817529</v>
      </c>
      <c r="H34" s="103">
        <f t="shared" si="2"/>
        <v>968668.1942680683</v>
      </c>
      <c r="I34" s="103">
        <f t="shared" si="2"/>
        <v>1084911.4331553697</v>
      </c>
      <c r="J34" s="103">
        <f t="shared" si="2"/>
        <v>1214341.2177220802</v>
      </c>
    </row>
    <row r="35" spans="2:10" x14ac:dyDescent="0.3">
      <c r="B35" s="1" t="s">
        <v>373</v>
      </c>
      <c r="C35" s="1">
        <f>+D29</f>
        <v>54665</v>
      </c>
      <c r="D35" s="178">
        <f>+K29</f>
        <v>82977</v>
      </c>
      <c r="E35" s="103">
        <f>+T29</f>
        <v>82890</v>
      </c>
      <c r="F35" s="103">
        <f>profitloss!G43</f>
        <v>98164.46374382035</v>
      </c>
      <c r="G35" s="103">
        <f>profitloss!H43</f>
        <v>112532.51934012411</v>
      </c>
      <c r="H35" s="103">
        <f>profitloss!I43</f>
        <v>124992.72998634561</v>
      </c>
      <c r="I35" s="103">
        <f>profitloss!J43</f>
        <v>139171.8113620542</v>
      </c>
      <c r="J35" s="103">
        <f>profitloss!K43</f>
        <v>157477.05707337667</v>
      </c>
    </row>
    <row r="36" spans="2:10" x14ac:dyDescent="0.3">
      <c r="B36" s="1" t="s">
        <v>374</v>
      </c>
      <c r="C36" s="1">
        <f>+E29</f>
        <v>-3852</v>
      </c>
      <c r="D36" s="178">
        <f>+L29</f>
        <v>-3921</v>
      </c>
      <c r="E36" s="103">
        <f>+U29</f>
        <v>-4297</v>
      </c>
      <c r="F36" s="103">
        <f>-profitloss!G53*0.9</f>
        <v>-6871.5124620674242</v>
      </c>
      <c r="G36" s="103">
        <f>-profitloss!H53*0.9</f>
        <v>-7877.2763538086892</v>
      </c>
      <c r="H36" s="103">
        <f>-profitloss!I53*0.9</f>
        <v>-8749.4910990441931</v>
      </c>
      <c r="I36" s="103">
        <f>-profitloss!J53*0.9</f>
        <v>-9742.0267953437942</v>
      </c>
      <c r="J36" s="103">
        <f>-profitloss!K53*0.9</f>
        <v>-11023.393995136368</v>
      </c>
    </row>
    <row r="37" spans="2:10" x14ac:dyDescent="0.3">
      <c r="B37" s="1" t="s">
        <v>378</v>
      </c>
      <c r="D37" s="178">
        <f>+O29</f>
        <v>52947</v>
      </c>
      <c r="F37" s="103"/>
    </row>
    <row r="38" spans="2:10" x14ac:dyDescent="0.3">
      <c r="B38" s="1" t="s">
        <v>375</v>
      </c>
      <c r="C38" s="1">
        <f>-732+35</f>
        <v>-697</v>
      </c>
      <c r="D38" s="1">
        <f>+P29</f>
        <v>728</v>
      </c>
      <c r="E38" s="1">
        <v>400</v>
      </c>
      <c r="F38" s="103"/>
    </row>
    <row r="39" spans="2:10" x14ac:dyDescent="0.3">
      <c r="B39" s="1" t="s">
        <v>377</v>
      </c>
      <c r="C39" s="1">
        <f>+I29</f>
        <v>11526</v>
      </c>
      <c r="D39" s="178">
        <f>+Q29</f>
        <v>118169</v>
      </c>
      <c r="F39" s="103">
        <f>profitloss!G39</f>
        <v>0</v>
      </c>
    </row>
    <row r="40" spans="2:10" x14ac:dyDescent="0.3">
      <c r="B40" s="1" t="s">
        <v>376</v>
      </c>
      <c r="C40" s="1">
        <f>SUM(C34:C39)</f>
        <v>442826</v>
      </c>
      <c r="D40" s="1">
        <f>SUM(D34:D39)</f>
        <v>693726</v>
      </c>
      <c r="E40" s="103">
        <f>SUM(E34:E39)</f>
        <v>772720</v>
      </c>
      <c r="F40" s="103">
        <f>SUBTOTAL(109,F34:F39)</f>
        <v>864012.9512817529</v>
      </c>
      <c r="G40" s="103">
        <f t="shared" ref="G40:J40" si="3">SUBTOTAL(109,G34:G39)</f>
        <v>968668.1942680683</v>
      </c>
      <c r="H40" s="103">
        <f t="shared" si="3"/>
        <v>1084911.4331553697</v>
      </c>
      <c r="I40" s="103">
        <f t="shared" si="3"/>
        <v>1214341.2177220802</v>
      </c>
      <c r="J40" s="103">
        <f t="shared" si="3"/>
        <v>1360794.8808003205</v>
      </c>
    </row>
    <row r="45" spans="2:10" x14ac:dyDescent="0.3">
      <c r="B45" s="1" t="s">
        <v>530</v>
      </c>
      <c r="C45" s="1" t="s">
        <v>313</v>
      </c>
      <c r="D45" s="1" t="s">
        <v>449</v>
      </c>
      <c r="E45" s="1" t="s">
        <v>450</v>
      </c>
      <c r="F45" s="1" t="s">
        <v>558</v>
      </c>
      <c r="G45" s="1" t="s">
        <v>559</v>
      </c>
      <c r="H45" s="1" t="s">
        <v>560</v>
      </c>
      <c r="I45" s="1" t="s">
        <v>561</v>
      </c>
      <c r="J45" s="1" t="s">
        <v>562</v>
      </c>
    </row>
    <row r="46" spans="2:10" x14ac:dyDescent="0.3">
      <c r="B46" s="280" t="s">
        <v>372</v>
      </c>
      <c r="F46" s="278">
        <f>balancesheet!F34</f>
        <v>109499</v>
      </c>
      <c r="G46" s="278">
        <f>F52</f>
        <v>119642.6612535281</v>
      </c>
      <c r="H46" s="278">
        <f t="shared" ref="H46:J46" si="4">G52</f>
        <v>131271.02158534093</v>
      </c>
      <c r="I46" s="278">
        <f t="shared" si="4"/>
        <v>144186.93701726329</v>
      </c>
      <c r="J46" s="278">
        <f t="shared" si="4"/>
        <v>158568.02419134224</v>
      </c>
    </row>
    <row r="47" spans="2:10" x14ac:dyDescent="0.3">
      <c r="B47" s="281" t="s">
        <v>373</v>
      </c>
      <c r="F47" s="278">
        <f>profitloss!G44</f>
        <v>10907.16263820226</v>
      </c>
      <c r="G47" s="278">
        <f>profitloss!H44</f>
        <v>12503.613260013792</v>
      </c>
      <c r="H47" s="278">
        <f>profitloss!I44</f>
        <v>13888.081109593957</v>
      </c>
      <c r="I47" s="278">
        <f>profitloss!J44</f>
        <v>15463.5345957838</v>
      </c>
      <c r="J47" s="278">
        <f>profitloss!K44</f>
        <v>17497.450785930741</v>
      </c>
    </row>
    <row r="48" spans="2:10" x14ac:dyDescent="0.3">
      <c r="B48" s="282" t="s">
        <v>374</v>
      </c>
      <c r="F48" s="279">
        <f>-profitloss!G53*0.1</f>
        <v>-763.50138467415832</v>
      </c>
      <c r="G48" s="279">
        <f>-profitloss!H53*0.1</f>
        <v>-875.25292820096547</v>
      </c>
      <c r="H48" s="279">
        <f>-profitloss!I53*0.1</f>
        <v>-972.1656776715771</v>
      </c>
      <c r="I48" s="279">
        <f>-profitloss!J53*0.1</f>
        <v>-1082.4474217048662</v>
      </c>
      <c r="J48" s="279">
        <f>-profitloss!K53*0.1</f>
        <v>-1224.8215550151519</v>
      </c>
    </row>
    <row r="49" spans="2:10" x14ac:dyDescent="0.3">
      <c r="B49" s="281" t="s">
        <v>378</v>
      </c>
    </row>
    <row r="50" spans="2:10" x14ac:dyDescent="0.3">
      <c r="B50" s="282" t="s">
        <v>375</v>
      </c>
    </row>
    <row r="51" spans="2:10" x14ac:dyDescent="0.3">
      <c r="B51" s="281" t="s">
        <v>377</v>
      </c>
    </row>
    <row r="52" spans="2:10" x14ac:dyDescent="0.3">
      <c r="B52" s="282" t="s">
        <v>376</v>
      </c>
      <c r="F52" s="278">
        <f>SUM(F46:F51)</f>
        <v>119642.6612535281</v>
      </c>
      <c r="G52" s="278">
        <f t="shared" ref="G52:J52" si="5">SUM(G46:G51)</f>
        <v>131271.02158534093</v>
      </c>
      <c r="H52" s="278">
        <f t="shared" si="5"/>
        <v>144186.93701726329</v>
      </c>
      <c r="I52" s="278">
        <f t="shared" si="5"/>
        <v>158568.02419134224</v>
      </c>
      <c r="J52" s="278">
        <f t="shared" si="5"/>
        <v>174840.6534222578</v>
      </c>
    </row>
  </sheetData>
  <mergeCells count="1">
    <mergeCell ref="G1:M2"/>
  </mergeCells>
  <phoneticPr fontId="78" type="noConversion"/>
  <hyperlinks>
    <hyperlink ref="H3" location="'other equity'!B7" display="Notes to accounts" xr:uid="{9E2C1E6B-6CD5-46A9-B362-7CD2B95A425D}"/>
    <hyperlink ref="H4" location="'other equity'!B32" display="summary" xr:uid="{F15DBF40-0A83-4834-9CB8-47B32610565E}"/>
  </hyperlinks>
  <pageMargins left="0.7" right="0.7" top="0.75" bottom="0.75" header="0.3" footer="0.3"/>
  <pageSetup orientation="portrait" r:id="rId1"/>
  <tableParts count="3">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7439E-4E1C-427C-9496-1CDED542EB92}">
  <dimension ref="A1:N45"/>
  <sheetViews>
    <sheetView topLeftCell="A19" workbookViewId="0">
      <selection activeCell="H6" sqref="H6"/>
    </sheetView>
  </sheetViews>
  <sheetFormatPr defaultRowHeight="14.4" x14ac:dyDescent="0.3"/>
  <cols>
    <col min="1" max="1" width="25.77734375" customWidth="1"/>
    <col min="2" max="2" width="10.5546875" customWidth="1"/>
    <col min="3" max="6" width="11.5546875" customWidth="1"/>
    <col min="8" max="8" width="11.44140625" customWidth="1"/>
    <col min="9" max="9" width="9.5546875" bestFit="1" customWidth="1"/>
    <col min="10" max="10" width="10.5546875" customWidth="1"/>
    <col min="11" max="14" width="11.5546875" customWidth="1"/>
  </cols>
  <sheetData>
    <row r="1" spans="1:5" x14ac:dyDescent="0.3">
      <c r="A1" t="s">
        <v>505</v>
      </c>
    </row>
    <row r="3" spans="1:5" x14ac:dyDescent="0.3">
      <c r="A3" t="s">
        <v>62</v>
      </c>
      <c r="B3" t="s">
        <v>546</v>
      </c>
      <c r="C3" t="s">
        <v>547</v>
      </c>
      <c r="D3" t="s">
        <v>548</v>
      </c>
      <c r="E3" t="s">
        <v>549</v>
      </c>
    </row>
    <row r="4" spans="1:5" x14ac:dyDescent="0.3">
      <c r="A4" t="s">
        <v>506</v>
      </c>
    </row>
    <row r="5" spans="1:5" x14ac:dyDescent="0.3">
      <c r="A5" t="str">
        <f>balancesheet!A42</f>
        <v>Provisions</v>
      </c>
      <c r="B5">
        <f>balancesheet!C42</f>
        <v>2856</v>
      </c>
      <c r="C5">
        <f>balancesheet!D42</f>
        <v>1790</v>
      </c>
      <c r="D5">
        <f>balancesheet!E42</f>
        <v>2625</v>
      </c>
      <c r="E5">
        <f>balancesheet!F42</f>
        <v>1853</v>
      </c>
    </row>
    <row r="6" spans="1:5" x14ac:dyDescent="0.3">
      <c r="A6" t="str">
        <f>balancesheet!A43</f>
        <v>Deferred Tax Liabilities (Net)</v>
      </c>
      <c r="B6">
        <f>balancesheet!C43</f>
        <v>49923</v>
      </c>
      <c r="C6">
        <f>balancesheet!D43</f>
        <v>54123</v>
      </c>
      <c r="D6">
        <f>balancesheet!E43</f>
        <v>37001</v>
      </c>
      <c r="E6">
        <f>balancesheet!F43</f>
        <v>49644</v>
      </c>
    </row>
    <row r="7" spans="1:5" x14ac:dyDescent="0.3">
      <c r="B7">
        <f>B3-B5-B6</f>
        <v>236913</v>
      </c>
      <c r="C7">
        <f t="shared" ref="C7:E7" si="0">C3-C5-C6</f>
        <v>235739</v>
      </c>
      <c r="D7">
        <f t="shared" si="0"/>
        <v>204586</v>
      </c>
      <c r="E7">
        <f t="shared" si="0"/>
        <v>250522</v>
      </c>
    </row>
    <row r="8" spans="1:5" x14ac:dyDescent="0.3">
      <c r="A8" t="s">
        <v>507</v>
      </c>
    </row>
    <row r="9" spans="1:5" x14ac:dyDescent="0.3">
      <c r="A9" t="str">
        <f>profitloss!A16</f>
        <v>Finance Costs</v>
      </c>
      <c r="B9">
        <f>profitloss!C16</f>
        <v>16495</v>
      </c>
      <c r="C9">
        <f>profitloss!D16</f>
        <v>22027</v>
      </c>
      <c r="D9">
        <f>profitloss!E16</f>
        <v>21189</v>
      </c>
      <c r="E9">
        <f>profitloss!F16</f>
        <v>14584</v>
      </c>
    </row>
    <row r="11" spans="1:5" x14ac:dyDescent="0.3">
      <c r="B11" s="194">
        <f>B9/B7</f>
        <v>6.9624714557664627E-2</v>
      </c>
      <c r="C11" s="194">
        <f t="shared" ref="C11:E11" si="1">C9/C7</f>
        <v>9.3438081946559545E-2</v>
      </c>
      <c r="D11" s="194">
        <f t="shared" si="1"/>
        <v>0.10357013676400145</v>
      </c>
      <c r="E11" s="194">
        <f t="shared" si="1"/>
        <v>5.821444823209139E-2</v>
      </c>
    </row>
    <row r="12" spans="1:5" x14ac:dyDescent="0.3">
      <c r="A12" t="s">
        <v>508</v>
      </c>
      <c r="B12" s="189">
        <v>0.08</v>
      </c>
    </row>
    <row r="13" spans="1:5" x14ac:dyDescent="0.3">
      <c r="A13" t="s">
        <v>518</v>
      </c>
      <c r="B13">
        <v>0.25</v>
      </c>
    </row>
    <row r="15" spans="1:5" x14ac:dyDescent="0.3">
      <c r="A15" t="s">
        <v>509</v>
      </c>
    </row>
    <row r="16" spans="1:5" x14ac:dyDescent="0.3">
      <c r="A16" t="s">
        <v>510</v>
      </c>
      <c r="B16">
        <f>SUM(balancesheet!C32:C34)</f>
        <v>395392</v>
      </c>
      <c r="C16">
        <f>SUM(balancesheet!D32:D34)</f>
        <v>461347</v>
      </c>
      <c r="D16">
        <f>SUM(balancesheet!E32:E34)</f>
        <v>799432</v>
      </c>
      <c r="E16">
        <f>SUM(balancesheet!F32:F34)</f>
        <v>888984</v>
      </c>
    </row>
    <row r="17" spans="1:14" x14ac:dyDescent="0.3">
      <c r="A17" t="s">
        <v>505</v>
      </c>
      <c r="B17">
        <f>B7</f>
        <v>236913</v>
      </c>
      <c r="C17">
        <f t="shared" ref="C17:E17" si="2">C7</f>
        <v>235739</v>
      </c>
      <c r="D17">
        <f t="shared" si="2"/>
        <v>204586</v>
      </c>
      <c r="E17">
        <f t="shared" si="2"/>
        <v>250522</v>
      </c>
    </row>
    <row r="19" spans="1:14" x14ac:dyDescent="0.3">
      <c r="A19" t="s">
        <v>511</v>
      </c>
      <c r="B19" s="243">
        <f>B17/(B16+B17)</f>
        <v>0.37468152236657942</v>
      </c>
      <c r="C19" s="243">
        <f t="shared" ref="C19:E19" si="3">C17/(C16+C17)</f>
        <v>0.33817778581121982</v>
      </c>
      <c r="D19" s="243">
        <f t="shared" si="3"/>
        <v>0.20376726313671667</v>
      </c>
      <c r="E19" s="243">
        <f t="shared" si="3"/>
        <v>0.21985140929490499</v>
      </c>
    </row>
    <row r="23" spans="1:14" x14ac:dyDescent="0.3">
      <c r="A23" t="s">
        <v>512</v>
      </c>
      <c r="E23">
        <v>0.35</v>
      </c>
    </row>
    <row r="24" spans="1:14" x14ac:dyDescent="0.3">
      <c r="H24" t="s">
        <v>368</v>
      </c>
      <c r="I24" t="s">
        <v>117</v>
      </c>
      <c r="J24" t="s">
        <v>439</v>
      </c>
      <c r="K24" t="s">
        <v>542</v>
      </c>
      <c r="L24" t="s">
        <v>543</v>
      </c>
      <c r="M24" t="s">
        <v>544</v>
      </c>
      <c r="N24" t="s">
        <v>545</v>
      </c>
    </row>
    <row r="25" spans="1:14" x14ac:dyDescent="0.3">
      <c r="A25" t="s">
        <v>513</v>
      </c>
      <c r="B25" t="s">
        <v>439</v>
      </c>
      <c r="C25" t="s">
        <v>542</v>
      </c>
      <c r="D25" t="s">
        <v>543</v>
      </c>
      <c r="E25" t="s">
        <v>544</v>
      </c>
      <c r="F25" t="s">
        <v>545</v>
      </c>
      <c r="H25" t="s">
        <v>550</v>
      </c>
      <c r="I25" s="243">
        <f>balancesheet!F12</f>
        <v>286146</v>
      </c>
      <c r="J25">
        <f>I25*(1+$J$26)</f>
        <v>343375.2</v>
      </c>
      <c r="K25">
        <f t="shared" ref="K25:N25" si="4">J25*(1+$J$26)</f>
        <v>412050.24</v>
      </c>
      <c r="L25">
        <f t="shared" si="4"/>
        <v>494460.28799999994</v>
      </c>
      <c r="M25">
        <f t="shared" si="4"/>
        <v>593352.34559999988</v>
      </c>
      <c r="N25">
        <f t="shared" si="4"/>
        <v>712022.81471999979</v>
      </c>
    </row>
    <row r="26" spans="1:14" x14ac:dyDescent="0.3">
      <c r="A26" t="s">
        <v>514</v>
      </c>
      <c r="B26" s="243">
        <f>PPE!H86</f>
        <v>38317.48328421067</v>
      </c>
      <c r="C26" s="243">
        <f>PPE!I86</f>
        <v>58953.053485834622</v>
      </c>
      <c r="D26" s="243">
        <f>PPE!J86</f>
        <v>69734.301711756852</v>
      </c>
      <c r="E26" s="243">
        <f>PPE!K86</f>
        <v>81255.01513693633</v>
      </c>
      <c r="F26" s="243">
        <f>PPE!L86</f>
        <v>93965.595428201254</v>
      </c>
      <c r="G26" s="243"/>
      <c r="J26" s="189">
        <v>0.2</v>
      </c>
    </row>
    <row r="27" spans="1:14" x14ac:dyDescent="0.3">
      <c r="A27" t="s">
        <v>515</v>
      </c>
      <c r="B27" s="243">
        <f>J25-I25</f>
        <v>57229.200000000012</v>
      </c>
      <c r="C27" s="243">
        <f>K25-J25</f>
        <v>68675.039999999979</v>
      </c>
      <c r="D27" s="243">
        <f>L25-K25</f>
        <v>82410.047999999952</v>
      </c>
      <c r="E27" s="243">
        <f t="shared" ref="E27:F27" si="5">M25-L25</f>
        <v>98892.057599999942</v>
      </c>
      <c r="F27" s="243">
        <f t="shared" si="5"/>
        <v>118670.46911999991</v>
      </c>
    </row>
    <row r="28" spans="1:14" x14ac:dyDescent="0.3">
      <c r="A28" t="s">
        <v>516</v>
      </c>
      <c r="B28">
        <v>3564</v>
      </c>
      <c r="H28" t="s">
        <v>551</v>
      </c>
      <c r="J28" s="180">
        <f>profitloss!G34</f>
        <v>52997.5</v>
      </c>
      <c r="K28" s="180">
        <f>profitloss!H34</f>
        <v>51365.5</v>
      </c>
      <c r="L28" s="180">
        <f>profitloss!I34</f>
        <v>52181.5</v>
      </c>
      <c r="M28" s="180">
        <f>profitloss!J34</f>
        <v>51773.5</v>
      </c>
      <c r="N28" s="180">
        <f>profitloss!K34</f>
        <v>51977.5</v>
      </c>
    </row>
    <row r="29" spans="1:14" x14ac:dyDescent="0.3">
      <c r="A29" t="s">
        <v>517</v>
      </c>
      <c r="B29" s="243">
        <f>SUM(B26:B28)</f>
        <v>99110.683284210681</v>
      </c>
      <c r="C29" s="243">
        <f t="shared" ref="C29:F29" si="6">SUM(C26:C28)</f>
        <v>127628.0934858346</v>
      </c>
      <c r="D29" s="243">
        <f t="shared" si="6"/>
        <v>152144.3497117568</v>
      </c>
      <c r="E29" s="243">
        <f t="shared" si="6"/>
        <v>180147.07273693627</v>
      </c>
      <c r="F29" s="243">
        <f t="shared" si="6"/>
        <v>212636.06454820116</v>
      </c>
      <c r="H29" t="s">
        <v>552</v>
      </c>
      <c r="J29" s="180">
        <f>+J25+J28</f>
        <v>396372.7</v>
      </c>
      <c r="K29" s="180">
        <f t="shared" ref="K29:N29" si="7">+K25+K28</f>
        <v>463415.74</v>
      </c>
      <c r="L29" s="180">
        <f t="shared" si="7"/>
        <v>546641.78799999994</v>
      </c>
      <c r="M29" s="180">
        <f t="shared" si="7"/>
        <v>645125.84559999988</v>
      </c>
      <c r="N29" s="180">
        <f t="shared" si="7"/>
        <v>764000.31471999979</v>
      </c>
    </row>
    <row r="31" spans="1:14" x14ac:dyDescent="0.3">
      <c r="A31" t="s">
        <v>519</v>
      </c>
      <c r="B31">
        <f>B29*$B$13</f>
        <v>24777.67082105267</v>
      </c>
      <c r="C31">
        <f t="shared" ref="C31:F31" si="8">C29*$B$13</f>
        <v>31907.02337145865</v>
      </c>
      <c r="D31">
        <f t="shared" si="8"/>
        <v>38036.087427939201</v>
      </c>
      <c r="E31">
        <f t="shared" si="8"/>
        <v>45036.768184234068</v>
      </c>
      <c r="F31">
        <f t="shared" si="8"/>
        <v>53159.01613705029</v>
      </c>
    </row>
    <row r="32" spans="1:14" x14ac:dyDescent="0.3">
      <c r="A32" t="s">
        <v>520</v>
      </c>
      <c r="B32">
        <f>0.75*B29</f>
        <v>74333.012463158011</v>
      </c>
      <c r="C32">
        <f t="shared" ref="C32:F32" si="9">0.75*C29</f>
        <v>95721.070114375951</v>
      </c>
      <c r="D32">
        <f t="shared" si="9"/>
        <v>114108.2622838176</v>
      </c>
      <c r="E32">
        <f t="shared" si="9"/>
        <v>135110.3045527022</v>
      </c>
      <c r="F32">
        <f t="shared" si="9"/>
        <v>159477.04841115087</v>
      </c>
    </row>
    <row r="34" spans="1:6" x14ac:dyDescent="0.3">
      <c r="A34" t="s">
        <v>386</v>
      </c>
      <c r="B34">
        <f>debt!E7</f>
        <v>250522</v>
      </c>
      <c r="C34">
        <f>B38</f>
        <v>275299.67082105268</v>
      </c>
      <c r="D34">
        <f t="shared" ref="D34:F34" si="10">C38</f>
        <v>307206.69419251132</v>
      </c>
      <c r="E34">
        <f t="shared" si="10"/>
        <v>345242.78162045055</v>
      </c>
      <c r="F34">
        <f t="shared" si="10"/>
        <v>390279.54980468459</v>
      </c>
    </row>
    <row r="35" spans="1:6" x14ac:dyDescent="0.3">
      <c r="A35" t="s">
        <v>521</v>
      </c>
      <c r="B35">
        <f>B31</f>
        <v>24777.67082105267</v>
      </c>
      <c r="C35">
        <f t="shared" ref="C35:F35" si="11">C31</f>
        <v>31907.02337145865</v>
      </c>
      <c r="D35">
        <f t="shared" si="11"/>
        <v>38036.087427939201</v>
      </c>
      <c r="E35">
        <f t="shared" si="11"/>
        <v>45036.768184234068</v>
      </c>
      <c r="F35">
        <f t="shared" si="11"/>
        <v>53159.01613705029</v>
      </c>
    </row>
    <row r="38" spans="1:6" x14ac:dyDescent="0.3">
      <c r="A38" t="s">
        <v>387</v>
      </c>
      <c r="B38">
        <f>SUM(B34:B37)</f>
        <v>275299.67082105268</v>
      </c>
      <c r="C38">
        <f t="shared" ref="C38:F38" si="12">SUM(C34:C37)</f>
        <v>307206.69419251132</v>
      </c>
      <c r="D38">
        <f t="shared" si="12"/>
        <v>345242.78162045055</v>
      </c>
      <c r="E38">
        <f t="shared" si="12"/>
        <v>390279.54980468459</v>
      </c>
      <c r="F38">
        <f t="shared" si="12"/>
        <v>443438.56594173488</v>
      </c>
    </row>
    <row r="40" spans="1:6" x14ac:dyDescent="0.3">
      <c r="A40" t="s">
        <v>522</v>
      </c>
      <c r="B40">
        <f>((B38+B34)/2)*8%</f>
        <v>21032.866832842112</v>
      </c>
      <c r="C40">
        <f t="shared" ref="C40:F40" si="13">((C38+C34)/2)*8%</f>
        <v>23300.254600542561</v>
      </c>
      <c r="D40">
        <f t="shared" si="13"/>
        <v>26097.979032518473</v>
      </c>
      <c r="E40">
        <f t="shared" si="13"/>
        <v>29420.893257005406</v>
      </c>
      <c r="F40">
        <f t="shared" si="13"/>
        <v>33348.724629856777</v>
      </c>
    </row>
    <row r="41" spans="1:6" x14ac:dyDescent="0.3">
      <c r="A41" t="str">
        <f>balancesheet!A44</f>
        <v>Other Non-Current Liabilities</v>
      </c>
      <c r="B41">
        <v>610</v>
      </c>
      <c r="C41">
        <v>610</v>
      </c>
      <c r="D41">
        <v>610</v>
      </c>
      <c r="E41">
        <v>610</v>
      </c>
      <c r="F41">
        <v>610</v>
      </c>
    </row>
    <row r="42" spans="1:6" x14ac:dyDescent="0.3">
      <c r="A42" t="str">
        <f>balancesheet!A40</f>
        <v>Deferred Payment Liabilities</v>
      </c>
      <c r="B42">
        <v>13000</v>
      </c>
      <c r="C42">
        <v>13000</v>
      </c>
      <c r="D42">
        <v>13000</v>
      </c>
      <c r="E42">
        <v>13000</v>
      </c>
      <c r="F42">
        <v>13000</v>
      </c>
    </row>
    <row r="43" spans="1:6" x14ac:dyDescent="0.3">
      <c r="A43" t="str">
        <f>balancesheet!A41</f>
        <v>oyher financial liablities</v>
      </c>
      <c r="B43">
        <v>12031</v>
      </c>
      <c r="C43">
        <v>12031</v>
      </c>
      <c r="D43">
        <v>12031</v>
      </c>
      <c r="E43">
        <v>12031</v>
      </c>
      <c r="F43">
        <v>12031</v>
      </c>
    </row>
    <row r="44" spans="1:6" x14ac:dyDescent="0.3">
      <c r="A44" t="str">
        <f>balancesheet!A40</f>
        <v>Deferred Payment Liabilities</v>
      </c>
      <c r="B44" s="243">
        <f>balancesheet!$F$40</f>
        <v>37184</v>
      </c>
      <c r="C44" s="243">
        <f>balancesheet!$F$40</f>
        <v>37184</v>
      </c>
      <c r="D44" s="243">
        <f>balancesheet!$F$40</f>
        <v>37184</v>
      </c>
      <c r="E44" s="243">
        <f>balancesheet!$F$40</f>
        <v>37184</v>
      </c>
      <c r="F44" s="243">
        <f>balancesheet!$F$40</f>
        <v>37184</v>
      </c>
    </row>
    <row r="45" spans="1:6" x14ac:dyDescent="0.3">
      <c r="A45" t="str">
        <f>+balancesheet!A48</f>
        <v>Borrowings</v>
      </c>
      <c r="B45" s="243">
        <f>+B38-B44-B43-B42-B41</f>
        <v>212474.67082105268</v>
      </c>
      <c r="C45" s="243">
        <f t="shared" ref="C45:F45" si="14">+C38-C44-C43-C42-C41</f>
        <v>244381.69419251132</v>
      </c>
      <c r="D45" s="243">
        <f>+D38-D44-D43-D42-D41</f>
        <v>282417.78162045055</v>
      </c>
      <c r="E45" s="243">
        <f t="shared" si="14"/>
        <v>327454.54980468459</v>
      </c>
      <c r="F45" s="243">
        <f t="shared" si="14"/>
        <v>380613.56594173488</v>
      </c>
    </row>
  </sheetData>
  <pageMargins left="0.7" right="0.7" top="0.75" bottom="0.75" header="0.3" footer="0.3"/>
  <tableParts count="3">
    <tablePart r:id="rId1"/>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9C5EE-AC20-4A0D-9DA3-5232AE91F0D7}">
  <dimension ref="A1:K23"/>
  <sheetViews>
    <sheetView workbookViewId="0">
      <selection sqref="A1:K23"/>
    </sheetView>
  </sheetViews>
  <sheetFormatPr defaultRowHeight="17.399999999999999" x14ac:dyDescent="0.45"/>
  <cols>
    <col min="1" max="1" width="15.21875" style="284" customWidth="1"/>
    <col min="2" max="2" width="10.109375" style="284" customWidth="1"/>
    <col min="3" max="6" width="9.5546875" style="284" customWidth="1"/>
    <col min="7" max="11" width="10.5546875" style="284" customWidth="1"/>
    <col min="12" max="16384" width="8.88671875" style="284"/>
  </cols>
  <sheetData>
    <row r="1" spans="1:11" x14ac:dyDescent="0.45">
      <c r="A1" s="284" t="s">
        <v>525</v>
      </c>
      <c r="B1" s="284" t="s">
        <v>313</v>
      </c>
      <c r="C1" s="284" t="s">
        <v>114</v>
      </c>
      <c r="D1" s="284" t="s">
        <v>115</v>
      </c>
      <c r="E1" s="284" t="s">
        <v>116</v>
      </c>
      <c r="F1" s="284" t="s">
        <v>117</v>
      </c>
      <c r="G1" s="284" t="s">
        <v>439</v>
      </c>
      <c r="H1" s="284" t="s">
        <v>440</v>
      </c>
      <c r="I1" s="284" t="s">
        <v>441</v>
      </c>
      <c r="J1" s="284" t="s">
        <v>442</v>
      </c>
      <c r="K1" s="284" t="s">
        <v>443</v>
      </c>
    </row>
    <row r="3" spans="1:11" x14ac:dyDescent="0.45">
      <c r="A3" s="284" t="str">
        <f>+profitloss!A11</f>
        <v>Cost of Material Consumed</v>
      </c>
      <c r="B3" s="284" t="str">
        <f>+profitloss!B11</f>
        <v/>
      </c>
      <c r="C3" s="284">
        <f>+profitloss!C11</f>
        <v>275237</v>
      </c>
      <c r="D3" s="284">
        <f>+profitloss!D11</f>
        <v>260621</v>
      </c>
      <c r="E3" s="284">
        <f>+profitloss!E11</f>
        <v>199915</v>
      </c>
      <c r="F3" s="284">
        <f>+profitloss!F11</f>
        <v>360784</v>
      </c>
      <c r="G3" s="284">
        <f>+profitloss!G11</f>
        <v>375272.87849999999</v>
      </c>
      <c r="H3" s="284">
        <f>+profitloss!H11</f>
        <v>429915.48340500006</v>
      </c>
      <c r="I3" s="284">
        <f>+profitloss!I11</f>
        <v>494049.47715990007</v>
      </c>
      <c r="J3" s="284">
        <f>+profitloss!J11</f>
        <v>569571.50282540638</v>
      </c>
      <c r="K3" s="284">
        <f>+profitloss!K11</f>
        <v>658791.26915436203</v>
      </c>
    </row>
    <row r="4" spans="1:11" x14ac:dyDescent="0.45">
      <c r="A4" s="284" t="str">
        <f>+profitloss!A12</f>
        <v>Purchase of Stock-in-Trade</v>
      </c>
      <c r="B4" s="284" t="str">
        <f>+profitloss!B12</f>
        <v/>
      </c>
      <c r="C4" s="284">
        <f>+profitloss!C12</f>
        <v>123930</v>
      </c>
      <c r="D4" s="284">
        <f>+profitloss!D12</f>
        <v>149667</v>
      </c>
      <c r="E4" s="284">
        <f>+profitloss!E12</f>
        <v>101850</v>
      </c>
      <c r="F4" s="284">
        <f>+profitloss!F12</f>
        <v>135585</v>
      </c>
      <c r="G4" s="284">
        <f>+profitloss!G12</f>
        <v>183466.74059999999</v>
      </c>
      <c r="H4" s="284">
        <f>+profitloss!H12</f>
        <v>210180.90299800003</v>
      </c>
      <c r="I4" s="284">
        <f>+profitloss!I12</f>
        <v>241535.29994484002</v>
      </c>
      <c r="J4" s="284">
        <f>+profitloss!J12</f>
        <v>278457.17915908759</v>
      </c>
      <c r="K4" s="284">
        <f>+profitloss!K12</f>
        <v>322075.73158657696</v>
      </c>
    </row>
    <row r="5" spans="1:11" x14ac:dyDescent="0.45">
      <c r="A5" s="284" t="str">
        <f>+profitloss!A13</f>
        <v>Changes in Inventories of Finished Goods, Work-in-Progress and Stock-in-Trade</v>
      </c>
      <c r="B5" s="284" t="str">
        <f>+profitloss!B13</f>
        <v>25</v>
      </c>
      <c r="C5" s="284">
        <f>+profitloss!C13</f>
        <v>-4680</v>
      </c>
      <c r="D5" s="284">
        <f>+profitloss!D13</f>
        <v>-5048</v>
      </c>
      <c r="E5" s="284">
        <f>+profitloss!E13</f>
        <v>-9064</v>
      </c>
      <c r="F5" s="284">
        <f>+profitloss!F13</f>
        <v>-21457</v>
      </c>
    </row>
    <row r="6" spans="1:11" x14ac:dyDescent="0.45">
      <c r="A6" s="310" t="s">
        <v>526</v>
      </c>
      <c r="C6" s="310">
        <f>SUM(C3:C5)</f>
        <v>394487</v>
      </c>
      <c r="D6" s="310">
        <f t="shared" ref="D6:F6" si="0">SUM(D3:D5)</f>
        <v>405240</v>
      </c>
      <c r="E6" s="310">
        <f t="shared" si="0"/>
        <v>292701</v>
      </c>
      <c r="F6" s="310">
        <f t="shared" si="0"/>
        <v>474912</v>
      </c>
      <c r="G6" s="310">
        <f t="shared" ref="G6" si="1">SUM(G3:G5)</f>
        <v>558739.61910000001</v>
      </c>
      <c r="H6" s="310">
        <f t="shared" ref="H6" si="2">SUM(H3:H5)</f>
        <v>640096.3864030001</v>
      </c>
      <c r="I6" s="310">
        <f t="shared" ref="I6" si="3">SUM(I3:I5)</f>
        <v>735584.77710474003</v>
      </c>
      <c r="J6" s="310">
        <f t="shared" ref="J6" si="4">SUM(J3:J5)</f>
        <v>848028.68198449397</v>
      </c>
      <c r="K6" s="310">
        <f t="shared" ref="K6" si="5">SUM(K3:K5)</f>
        <v>980867.00074093905</v>
      </c>
    </row>
    <row r="8" spans="1:11" x14ac:dyDescent="0.45">
      <c r="A8" s="284" t="s">
        <v>527</v>
      </c>
      <c r="C8" s="284">
        <f>balancesheet!C19</f>
        <v>67561</v>
      </c>
      <c r="D8" s="284">
        <f>balancesheet!D19</f>
        <v>73903</v>
      </c>
      <c r="E8" s="284">
        <f>balancesheet!E19</f>
        <v>81672</v>
      </c>
      <c r="F8" s="284">
        <f>balancesheet!F19</f>
        <v>107778</v>
      </c>
      <c r="G8" s="284">
        <f>G6*$C$11/365</f>
        <v>120073.60107553896</v>
      </c>
      <c r="H8" s="284">
        <f t="shared" ref="H8:K8" si="6">H6*$C$11/365</f>
        <v>137557.23690159895</v>
      </c>
      <c r="I8" s="284">
        <f t="shared" si="6"/>
        <v>158077.77015273014</v>
      </c>
      <c r="J8" s="284">
        <f t="shared" si="6"/>
        <v>182242.05726674449</v>
      </c>
      <c r="K8" s="284">
        <f t="shared" si="6"/>
        <v>210789.12060118109</v>
      </c>
    </row>
    <row r="10" spans="1:11" x14ac:dyDescent="0.45">
      <c r="A10" s="284" t="s">
        <v>528</v>
      </c>
      <c r="C10" s="327">
        <f>C8/(C6/365)</f>
        <v>62.510969943242749</v>
      </c>
      <c r="D10" s="327">
        <f t="shared" ref="D10:F10" si="7">D8/(D6/365)</f>
        <v>66.564492646333036</v>
      </c>
      <c r="E10" s="327">
        <f t="shared" si="7"/>
        <v>101.84550104031077</v>
      </c>
      <c r="F10" s="327">
        <f t="shared" si="7"/>
        <v>82.834230341621193</v>
      </c>
    </row>
    <row r="11" spans="1:11" x14ac:dyDescent="0.45">
      <c r="A11" s="284" t="s">
        <v>529</v>
      </c>
      <c r="C11" s="327">
        <f>AVERAGE(C10:F10)</f>
        <v>78.438798492876941</v>
      </c>
    </row>
    <row r="13" spans="1:11" x14ac:dyDescent="0.45">
      <c r="A13" s="284" t="s">
        <v>531</v>
      </c>
      <c r="C13" s="284">
        <f>balancesheet!C50</f>
        <v>108309</v>
      </c>
      <c r="D13" s="284">
        <f>balancesheet!D50</f>
        <v>96799</v>
      </c>
      <c r="E13" s="284">
        <f>balancesheet!E50</f>
        <v>108897</v>
      </c>
      <c r="F13" s="284">
        <f>balancesheet!F50</f>
        <v>159330</v>
      </c>
      <c r="G13" s="284">
        <f>G6*$C$16/365</f>
        <v>170549.73873735761</v>
      </c>
      <c r="H13" s="284">
        <f t="shared" ref="H13:K13" si="8">H6*$C$16/365</f>
        <v>195383.08674728157</v>
      </c>
      <c r="I13" s="284">
        <f t="shared" si="8"/>
        <v>224529.97293527852</v>
      </c>
      <c r="J13" s="284">
        <f t="shared" si="8"/>
        <v>258852.3620129324</v>
      </c>
      <c r="K13" s="284">
        <f t="shared" si="8"/>
        <v>299399.94407756987</v>
      </c>
    </row>
    <row r="15" spans="1:11" x14ac:dyDescent="0.45">
      <c r="A15" s="284" t="s">
        <v>532</v>
      </c>
      <c r="C15" s="328">
        <f>C13/(C6/365)</f>
        <v>100.21315024322729</v>
      </c>
      <c r="D15" s="328">
        <f t="shared" ref="D15:F15" si="9">D13/(D6/365)</f>
        <v>87.186938604283881</v>
      </c>
      <c r="E15" s="328">
        <f t="shared" si="9"/>
        <v>135.7952483934117</v>
      </c>
      <c r="F15" s="328">
        <f t="shared" si="9"/>
        <v>122.45521275520518</v>
      </c>
      <c r="G15" s="328"/>
    </row>
    <row r="16" spans="1:11" x14ac:dyDescent="0.45">
      <c r="A16" s="284" t="s">
        <v>529</v>
      </c>
      <c r="C16" s="327">
        <f>AVERAGE(C15:F15)</f>
        <v>111.41263749903202</v>
      </c>
    </row>
    <row r="18" spans="1:11" x14ac:dyDescent="0.45">
      <c r="A18" s="284" t="str">
        <f>profitloss!A7</f>
        <v>REVENUE FROM OPERATIONS</v>
      </c>
      <c r="C18" s="284">
        <f>profitloss!C7</f>
        <v>583094</v>
      </c>
      <c r="D18" s="284">
        <f>profitloss!D7</f>
        <v>612437</v>
      </c>
      <c r="E18" s="284">
        <f>profitloss!E7</f>
        <v>486326</v>
      </c>
      <c r="F18" s="284">
        <f>profitloss!F7</f>
        <v>721634</v>
      </c>
      <c r="G18" s="284">
        <f>profitloss!G7</f>
        <v>833939.73</v>
      </c>
      <c r="H18" s="284">
        <f>profitloss!H7</f>
        <v>955367.74090000009</v>
      </c>
      <c r="I18" s="284">
        <f>profitloss!I7</f>
        <v>1097887.7270220001</v>
      </c>
      <c r="J18" s="284">
        <f>profitloss!J7</f>
        <v>1265714.4507231254</v>
      </c>
      <c r="K18" s="284">
        <f>profitloss!K7</f>
        <v>1463980.5981208044</v>
      </c>
    </row>
    <row r="20" spans="1:11" x14ac:dyDescent="0.45">
      <c r="A20" s="284" t="s">
        <v>533</v>
      </c>
      <c r="C20" s="284">
        <f>balancesheet!C22</f>
        <v>30089</v>
      </c>
      <c r="D20" s="284">
        <f>balancesheet!D22</f>
        <v>19656</v>
      </c>
      <c r="E20" s="284">
        <f>balancesheet!E22</f>
        <v>19014</v>
      </c>
      <c r="F20" s="284">
        <f>balancesheet!F22</f>
        <v>23640</v>
      </c>
      <c r="G20" s="284">
        <f>G18*$C$23/365</f>
        <v>34271.495753424657</v>
      </c>
      <c r="H20" s="284">
        <f t="shared" ref="H20:K20" si="10">H18*$C$23/365</f>
        <v>39261.687982191783</v>
      </c>
      <c r="I20" s="284">
        <f t="shared" si="10"/>
        <v>45118.673713232885</v>
      </c>
      <c r="J20" s="284">
        <f t="shared" si="10"/>
        <v>52015.662358484602</v>
      </c>
      <c r="K20" s="284">
        <f t="shared" si="10"/>
        <v>60163.586224142644</v>
      </c>
    </row>
    <row r="21" spans="1:11" x14ac:dyDescent="0.45">
      <c r="A21" s="284" t="s">
        <v>534</v>
      </c>
      <c r="C21" s="328">
        <f>C20/(C18/365)</f>
        <v>18.834844810613728</v>
      </c>
      <c r="D21" s="328">
        <f t="shared" ref="D21:F21" si="11">D20/(D18/365)</f>
        <v>11.714576356425233</v>
      </c>
      <c r="E21" s="328">
        <f t="shared" si="11"/>
        <v>14.270489342539777</v>
      </c>
      <c r="F21" s="328">
        <f t="shared" si="11"/>
        <v>11.957030849433369</v>
      </c>
    </row>
    <row r="23" spans="1:11" x14ac:dyDescent="0.45">
      <c r="C23" s="284">
        <v>15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5B3DE-FB52-44DA-844B-E030ADF0C977}">
  <dimension ref="A1:AP87"/>
  <sheetViews>
    <sheetView topLeftCell="A56" workbookViewId="0">
      <selection activeCell="O74" sqref="O74"/>
    </sheetView>
  </sheetViews>
  <sheetFormatPr defaultRowHeight="14.4" x14ac:dyDescent="0.3"/>
  <cols>
    <col min="2" max="2" width="20.109375" customWidth="1"/>
    <col min="3" max="3" width="12.21875" customWidth="1"/>
    <col min="4" max="4" width="10.33203125" customWidth="1"/>
    <col min="5" max="5" width="14.77734375" customWidth="1"/>
    <col min="6" max="6" width="20.44140625" customWidth="1"/>
    <col min="7" max="7" width="13.21875" customWidth="1"/>
    <col min="8" max="8" width="11.33203125" customWidth="1"/>
    <col min="9" max="9" width="12.77734375" customWidth="1"/>
    <col min="10" max="10" width="12.33203125" customWidth="1"/>
    <col min="11" max="11" width="11.5546875" customWidth="1"/>
    <col min="12" max="12" width="14.6640625" customWidth="1"/>
    <col min="14" max="14" width="4.5546875" customWidth="1"/>
    <col min="15" max="15" width="17.77734375" customWidth="1"/>
    <col min="16" max="16" width="26.5546875" bestFit="1" customWidth="1"/>
    <col min="17" max="17" width="16.21875" customWidth="1"/>
    <col min="18" max="18" width="12.6640625" customWidth="1"/>
    <col min="19" max="19" width="12.88671875" customWidth="1"/>
    <col min="20" max="20" width="15.44140625" customWidth="1"/>
    <col min="21" max="21" width="16.21875" customWidth="1"/>
    <col min="22" max="22" width="11.5546875" customWidth="1"/>
    <col min="23" max="23" width="15.6640625" customWidth="1"/>
    <col min="24" max="24" width="16.21875" customWidth="1"/>
    <col min="25" max="25" width="16" customWidth="1"/>
    <col min="26" max="26" width="17.21875" customWidth="1"/>
    <col min="27" max="27" width="13.109375" bestFit="1" customWidth="1"/>
    <col min="28" max="28" width="15.44140625" bestFit="1" customWidth="1"/>
    <col min="29" max="30" width="10.33203125" bestFit="1" customWidth="1"/>
    <col min="31" max="31" width="9" bestFit="1" customWidth="1"/>
    <col min="32" max="33" width="10.33203125" bestFit="1" customWidth="1"/>
    <col min="34" max="35" width="9" bestFit="1" customWidth="1"/>
    <col min="36" max="41" width="10.33203125" bestFit="1" customWidth="1"/>
    <col min="42" max="42" width="9" style="187" bestFit="1" customWidth="1"/>
  </cols>
  <sheetData>
    <row r="1" spans="1:42" x14ac:dyDescent="0.3">
      <c r="C1" s="601" t="s">
        <v>418</v>
      </c>
      <c r="D1" s="601"/>
      <c r="E1" s="601"/>
      <c r="F1" s="601"/>
      <c r="G1" s="601"/>
      <c r="H1" s="601"/>
      <c r="I1" s="601"/>
    </row>
    <row r="2" spans="1:42" x14ac:dyDescent="0.3">
      <c r="C2" s="601"/>
      <c r="D2" s="601"/>
      <c r="E2" s="601"/>
      <c r="F2" s="601"/>
      <c r="G2" s="601"/>
      <c r="H2" s="601"/>
      <c r="I2" s="601"/>
    </row>
    <row r="3" spans="1:42" ht="18" x14ac:dyDescent="0.35">
      <c r="C3" s="191">
        <v>1</v>
      </c>
      <c r="D3" s="192" t="s">
        <v>419</v>
      </c>
      <c r="E3" s="191"/>
      <c r="F3" s="191"/>
      <c r="G3" s="191"/>
      <c r="H3" s="191"/>
      <c r="I3" s="191"/>
    </row>
    <row r="4" spans="1:42" ht="18" x14ac:dyDescent="0.35">
      <c r="C4" s="191">
        <v>2</v>
      </c>
      <c r="D4" s="192" t="s">
        <v>420</v>
      </c>
      <c r="E4" s="191"/>
      <c r="F4" s="191"/>
      <c r="G4" s="191"/>
      <c r="H4" s="191"/>
      <c r="I4" s="191"/>
    </row>
    <row r="5" spans="1:42" ht="18" x14ac:dyDescent="0.35">
      <c r="C5" s="191">
        <v>3</v>
      </c>
      <c r="D5" s="190" t="s">
        <v>421</v>
      </c>
      <c r="E5" s="191"/>
      <c r="F5" s="191"/>
      <c r="G5" s="191"/>
      <c r="H5" s="191"/>
      <c r="I5" s="191"/>
    </row>
    <row r="6" spans="1:42" ht="18" x14ac:dyDescent="0.35">
      <c r="C6" s="191">
        <v>4</v>
      </c>
      <c r="D6" s="190" t="s">
        <v>422</v>
      </c>
      <c r="E6" s="191"/>
      <c r="F6" s="191"/>
      <c r="G6" s="191"/>
      <c r="H6" s="191"/>
      <c r="I6" s="191"/>
    </row>
    <row r="7" spans="1:42" x14ac:dyDescent="0.3">
      <c r="A7" s="607" t="s">
        <v>563</v>
      </c>
      <c r="B7" s="607"/>
      <c r="C7" s="607"/>
      <c r="D7" s="607"/>
      <c r="E7" s="607"/>
      <c r="F7" s="607"/>
      <c r="G7" s="607"/>
      <c r="H7" s="607"/>
      <c r="I7" s="607"/>
      <c r="J7" s="607"/>
      <c r="K7" s="607"/>
      <c r="L7" s="607"/>
      <c r="M7" s="607"/>
      <c r="N7" s="607"/>
      <c r="O7" s="607"/>
    </row>
    <row r="8" spans="1:42" ht="18" customHeight="1" x14ac:dyDescent="0.3">
      <c r="A8" s="74"/>
      <c r="B8" s="608" t="s">
        <v>564</v>
      </c>
      <c r="C8" s="610" t="s">
        <v>565</v>
      </c>
      <c r="D8" s="610"/>
      <c r="E8" s="610"/>
      <c r="F8" s="611"/>
      <c r="G8" s="612" t="s">
        <v>566</v>
      </c>
      <c r="H8" s="613"/>
      <c r="I8" s="613"/>
      <c r="J8" s="613"/>
      <c r="K8" s="614"/>
      <c r="L8" s="615" t="s">
        <v>567</v>
      </c>
      <c r="M8" s="616"/>
      <c r="N8" s="616"/>
      <c r="O8" s="74"/>
      <c r="P8" s="336"/>
      <c r="Q8" s="650" t="s">
        <v>568</v>
      </c>
      <c r="R8" s="650"/>
      <c r="S8" s="650"/>
      <c r="T8" s="650"/>
      <c r="U8" s="337" t="s">
        <v>569</v>
      </c>
      <c r="V8" s="337"/>
      <c r="W8" s="337"/>
      <c r="X8" s="337"/>
      <c r="Y8" s="650" t="s">
        <v>570</v>
      </c>
      <c r="Z8" s="650"/>
      <c r="AB8" s="667" t="s">
        <v>571</v>
      </c>
      <c r="AC8" s="660" t="s">
        <v>572</v>
      </c>
      <c r="AD8" s="660"/>
      <c r="AE8" s="660"/>
      <c r="AF8" s="660"/>
      <c r="AG8" s="660"/>
      <c r="AH8" s="660"/>
      <c r="AI8" s="660"/>
      <c r="AJ8" s="660"/>
      <c r="AK8" s="660"/>
      <c r="AL8" s="660"/>
      <c r="AM8" s="660"/>
      <c r="AN8" s="660"/>
      <c r="AO8" s="660"/>
    </row>
    <row r="9" spans="1:42" ht="39" customHeight="1" x14ac:dyDescent="0.3">
      <c r="A9" s="74"/>
      <c r="B9" s="609"/>
      <c r="C9" s="338" t="s">
        <v>573</v>
      </c>
      <c r="D9" s="338" t="s">
        <v>574</v>
      </c>
      <c r="E9" s="338" t="s">
        <v>575</v>
      </c>
      <c r="F9" s="339" t="s">
        <v>576</v>
      </c>
      <c r="G9" s="340" t="s">
        <v>573</v>
      </c>
      <c r="H9" s="617" t="s">
        <v>577</v>
      </c>
      <c r="I9" s="617"/>
      <c r="J9" s="338" t="s">
        <v>575</v>
      </c>
      <c r="K9" s="339" t="s">
        <v>576</v>
      </c>
      <c r="L9" s="341" t="s">
        <v>576</v>
      </c>
      <c r="M9" s="618" t="s">
        <v>578</v>
      </c>
      <c r="N9" s="618"/>
      <c r="O9" s="74"/>
      <c r="P9" s="342" t="s">
        <v>579</v>
      </c>
      <c r="Q9" s="343" t="s">
        <v>580</v>
      </c>
      <c r="R9" s="343" t="s">
        <v>580</v>
      </c>
      <c r="S9" s="344" t="s">
        <v>581</v>
      </c>
      <c r="T9" s="345" t="s">
        <v>582</v>
      </c>
      <c r="U9" s="346" t="s">
        <v>582</v>
      </c>
      <c r="V9" s="343" t="s">
        <v>583</v>
      </c>
      <c r="W9" s="344" t="s">
        <v>581</v>
      </c>
      <c r="X9" s="345" t="s">
        <v>582</v>
      </c>
      <c r="Y9" s="345" t="s">
        <v>582</v>
      </c>
      <c r="Z9" s="344" t="s">
        <v>582</v>
      </c>
      <c r="AB9" s="668"/>
      <c r="AC9" s="347" t="s">
        <v>584</v>
      </c>
      <c r="AD9" s="347" t="s">
        <v>585</v>
      </c>
      <c r="AE9" s="661" t="s">
        <v>586</v>
      </c>
      <c r="AF9" s="661"/>
      <c r="AG9" s="348" t="s">
        <v>312</v>
      </c>
      <c r="AH9" s="661" t="s">
        <v>584</v>
      </c>
      <c r="AI9" s="661"/>
      <c r="AJ9" s="662" t="s">
        <v>587</v>
      </c>
      <c r="AK9" s="662"/>
      <c r="AL9" s="347" t="s">
        <v>586</v>
      </c>
      <c r="AM9" s="348" t="s">
        <v>312</v>
      </c>
      <c r="AN9" s="348" t="s">
        <v>312</v>
      </c>
      <c r="AO9" s="347" t="s">
        <v>588</v>
      </c>
      <c r="AP9" s="187" t="s">
        <v>411</v>
      </c>
    </row>
    <row r="10" spans="1:42" ht="30" customHeight="1" x14ac:dyDescent="0.3">
      <c r="A10" s="74"/>
      <c r="B10" s="606" t="s">
        <v>589</v>
      </c>
      <c r="C10" s="606"/>
      <c r="D10" s="606"/>
      <c r="E10" s="606"/>
      <c r="F10" s="350"/>
      <c r="G10" s="619"/>
      <c r="H10" s="620"/>
      <c r="I10" s="620"/>
      <c r="J10" s="620"/>
      <c r="K10" s="350"/>
      <c r="L10" s="351"/>
      <c r="M10" s="620"/>
      <c r="N10" s="620"/>
      <c r="O10" s="74"/>
      <c r="P10" s="352"/>
      <c r="Q10" s="353" t="s">
        <v>590</v>
      </c>
      <c r="R10" s="353"/>
      <c r="S10" s="354" t="s">
        <v>591</v>
      </c>
      <c r="T10" s="355">
        <v>44286</v>
      </c>
      <c r="U10" s="356">
        <v>43922</v>
      </c>
      <c r="V10" s="353" t="s">
        <v>592</v>
      </c>
      <c r="W10" s="357" t="s">
        <v>593</v>
      </c>
      <c r="X10" s="358">
        <v>44286</v>
      </c>
      <c r="Y10" s="355">
        <v>44286</v>
      </c>
      <c r="Z10" s="359">
        <v>43921</v>
      </c>
      <c r="AB10" s="663" t="s">
        <v>594</v>
      </c>
      <c r="AC10" s="663"/>
      <c r="AD10" s="663"/>
      <c r="AE10" s="663"/>
      <c r="AF10" s="663"/>
      <c r="AG10" s="360"/>
      <c r="AH10" s="664"/>
      <c r="AI10" s="664"/>
      <c r="AJ10" s="664"/>
      <c r="AK10" s="664"/>
      <c r="AL10" s="664"/>
      <c r="AM10" s="665"/>
      <c r="AN10" s="665"/>
      <c r="AO10" s="361"/>
    </row>
    <row r="11" spans="1:42" ht="18" customHeight="1" x14ac:dyDescent="0.3">
      <c r="A11" s="362"/>
      <c r="B11" s="606" t="s">
        <v>595</v>
      </c>
      <c r="C11" s="606"/>
      <c r="D11" s="606"/>
      <c r="E11" s="606"/>
      <c r="F11" s="363"/>
      <c r="G11" s="626"/>
      <c r="H11" s="627"/>
      <c r="I11" s="627"/>
      <c r="J11" s="627"/>
      <c r="K11" s="363"/>
      <c r="L11" s="364"/>
      <c r="M11" s="627"/>
      <c r="N11" s="627"/>
      <c r="O11" s="362"/>
      <c r="P11" s="365" t="s">
        <v>596</v>
      </c>
      <c r="Q11" s="365"/>
      <c r="R11" s="365"/>
      <c r="S11" s="365"/>
      <c r="T11" s="366"/>
      <c r="U11" s="367"/>
      <c r="V11" s="367"/>
      <c r="W11" s="367"/>
      <c r="X11" s="651"/>
      <c r="Y11" s="651"/>
      <c r="Z11" s="368"/>
      <c r="AB11" s="669" t="s">
        <v>597</v>
      </c>
      <c r="AC11" s="669"/>
      <c r="AD11" s="669"/>
      <c r="AE11" s="669"/>
      <c r="AF11" s="669"/>
      <c r="AG11" s="369"/>
      <c r="AH11" s="683"/>
      <c r="AI11" s="683"/>
      <c r="AJ11" s="683"/>
      <c r="AK11" s="683"/>
      <c r="AL11" s="683"/>
      <c r="AM11" s="684"/>
      <c r="AN11" s="684"/>
      <c r="AO11" s="370"/>
    </row>
    <row r="12" spans="1:42" ht="14.4" customHeight="1" x14ac:dyDescent="0.3">
      <c r="A12" s="362"/>
      <c r="B12" s="371" t="s">
        <v>598</v>
      </c>
      <c r="C12" s="372">
        <v>49371</v>
      </c>
      <c r="D12" s="373">
        <v>482</v>
      </c>
      <c r="E12" s="373">
        <v>3</v>
      </c>
      <c r="F12" s="374">
        <v>49850</v>
      </c>
      <c r="G12" s="375" t="s">
        <v>599</v>
      </c>
      <c r="H12" s="628" t="s">
        <v>599</v>
      </c>
      <c r="I12" s="628"/>
      <c r="J12" s="376" t="s">
        <v>599</v>
      </c>
      <c r="K12" s="377" t="s">
        <v>599</v>
      </c>
      <c r="L12" s="378">
        <v>49850</v>
      </c>
      <c r="M12" s="625">
        <v>49371</v>
      </c>
      <c r="N12" s="625"/>
      <c r="O12" s="362"/>
      <c r="P12" s="379" t="s">
        <v>600</v>
      </c>
      <c r="Q12" s="380">
        <v>49850</v>
      </c>
      <c r="R12" s="381">
        <v>95</v>
      </c>
      <c r="S12" s="382">
        <v>7</v>
      </c>
      <c r="T12" s="383">
        <v>49938</v>
      </c>
      <c r="U12" s="384" t="s">
        <v>601</v>
      </c>
      <c r="V12" s="381" t="s">
        <v>601</v>
      </c>
      <c r="W12" s="385" t="s">
        <v>601</v>
      </c>
      <c r="X12" s="386" t="s">
        <v>601</v>
      </c>
      <c r="Y12" s="383">
        <v>49938</v>
      </c>
      <c r="Z12" s="387">
        <v>49850</v>
      </c>
      <c r="AB12" s="388" t="s">
        <v>96</v>
      </c>
      <c r="AC12" s="389">
        <v>49938</v>
      </c>
      <c r="AD12" s="390">
        <v>288</v>
      </c>
      <c r="AE12" s="670">
        <v>45</v>
      </c>
      <c r="AF12" s="670"/>
      <c r="AG12" s="391">
        <v>50181</v>
      </c>
      <c r="AH12" s="671" t="s">
        <v>84</v>
      </c>
      <c r="AI12" s="671"/>
      <c r="AJ12" s="671" t="s">
        <v>84</v>
      </c>
      <c r="AK12" s="671"/>
      <c r="AL12" s="392" t="s">
        <v>84</v>
      </c>
      <c r="AM12" s="393" t="s">
        <v>602</v>
      </c>
      <c r="AN12" s="391">
        <v>50181</v>
      </c>
      <c r="AO12" s="389">
        <v>49938</v>
      </c>
    </row>
    <row r="13" spans="1:42" ht="14.4" customHeight="1" x14ac:dyDescent="0.3">
      <c r="A13" s="362"/>
      <c r="B13" s="371" t="s">
        <v>603</v>
      </c>
      <c r="C13" s="372">
        <v>27672</v>
      </c>
      <c r="D13" s="372">
        <v>4551</v>
      </c>
      <c r="E13" s="373">
        <v>51</v>
      </c>
      <c r="F13" s="374">
        <v>32172</v>
      </c>
      <c r="G13" s="394">
        <v>7978</v>
      </c>
      <c r="H13" s="621">
        <v>1380</v>
      </c>
      <c r="I13" s="621"/>
      <c r="J13" s="373">
        <v>23</v>
      </c>
      <c r="K13" s="374">
        <v>9335</v>
      </c>
      <c r="L13" s="378">
        <v>22837</v>
      </c>
      <c r="M13" s="625">
        <v>19694</v>
      </c>
      <c r="N13" s="625"/>
      <c r="O13" s="362"/>
      <c r="P13" s="379" t="s">
        <v>604</v>
      </c>
      <c r="Q13" s="395">
        <v>32172</v>
      </c>
      <c r="R13" s="396">
        <v>1684</v>
      </c>
      <c r="S13" s="397">
        <v>17</v>
      </c>
      <c r="T13" s="398">
        <v>33839</v>
      </c>
      <c r="U13" s="399">
        <v>9335</v>
      </c>
      <c r="V13" s="400">
        <v>1418</v>
      </c>
      <c r="W13" s="397">
        <v>9</v>
      </c>
      <c r="X13" s="398">
        <v>10744</v>
      </c>
      <c r="Y13" s="398">
        <v>23095</v>
      </c>
      <c r="Z13" s="401">
        <v>22837</v>
      </c>
      <c r="AB13" s="388" t="s">
        <v>97</v>
      </c>
      <c r="AC13" s="389">
        <v>34067</v>
      </c>
      <c r="AD13" s="389">
        <v>7682</v>
      </c>
      <c r="AE13" s="670">
        <v>67</v>
      </c>
      <c r="AF13" s="670"/>
      <c r="AG13" s="391">
        <v>41682</v>
      </c>
      <c r="AH13" s="677">
        <v>10878</v>
      </c>
      <c r="AI13" s="677"/>
      <c r="AJ13" s="678">
        <v>4278</v>
      </c>
      <c r="AK13" s="678"/>
      <c r="AL13" s="390">
        <v>17</v>
      </c>
      <c r="AM13" s="391">
        <v>15139</v>
      </c>
      <c r="AN13" s="391">
        <v>26543</v>
      </c>
      <c r="AO13" s="389">
        <v>23189</v>
      </c>
    </row>
    <row r="14" spans="1:42" ht="43.2" customHeight="1" x14ac:dyDescent="0.3">
      <c r="A14" s="362"/>
      <c r="B14" s="371" t="s">
        <v>605</v>
      </c>
      <c r="C14" s="402">
        <v>318853</v>
      </c>
      <c r="D14" s="402">
        <v>126104</v>
      </c>
      <c r="E14" s="372">
        <v>3447</v>
      </c>
      <c r="F14" s="403">
        <v>441510</v>
      </c>
      <c r="G14" s="404">
        <v>115008</v>
      </c>
      <c r="H14" s="621">
        <v>11108</v>
      </c>
      <c r="I14" s="621"/>
      <c r="J14" s="372">
        <v>2141</v>
      </c>
      <c r="K14" s="403">
        <v>123975</v>
      </c>
      <c r="L14" s="405">
        <v>317535</v>
      </c>
      <c r="M14" s="622">
        <v>203845</v>
      </c>
      <c r="N14" s="623"/>
      <c r="O14" s="362"/>
      <c r="P14" s="379" t="s">
        <v>606</v>
      </c>
      <c r="Q14" s="395">
        <v>442006</v>
      </c>
      <c r="R14" s="396">
        <v>23164</v>
      </c>
      <c r="S14" s="406">
        <v>2545</v>
      </c>
      <c r="T14" s="407">
        <v>463075</v>
      </c>
      <c r="U14" s="408">
        <v>123740</v>
      </c>
      <c r="V14" s="400">
        <v>12845</v>
      </c>
      <c r="W14" s="406">
        <v>2093</v>
      </c>
      <c r="X14" s="407">
        <v>134492</v>
      </c>
      <c r="Y14" s="407">
        <v>328583</v>
      </c>
      <c r="Z14" s="409">
        <v>318266</v>
      </c>
      <c r="AB14" s="388" t="s">
        <v>98</v>
      </c>
      <c r="AC14" s="410">
        <v>463097</v>
      </c>
      <c r="AD14" s="389">
        <v>43015</v>
      </c>
      <c r="AE14" s="679">
        <v>1240</v>
      </c>
      <c r="AF14" s="679"/>
      <c r="AG14" s="411">
        <v>504872</v>
      </c>
      <c r="AH14" s="680">
        <v>134726</v>
      </c>
      <c r="AI14" s="681"/>
      <c r="AJ14" s="682">
        <v>19360</v>
      </c>
      <c r="AK14" s="682"/>
      <c r="AL14" s="390">
        <v>892</v>
      </c>
      <c r="AM14" s="411">
        <v>153194</v>
      </c>
      <c r="AN14" s="411">
        <v>351678</v>
      </c>
      <c r="AO14" s="410">
        <v>328371</v>
      </c>
    </row>
    <row r="15" spans="1:42" ht="28.8" x14ac:dyDescent="0.3">
      <c r="A15" s="362"/>
      <c r="B15" s="371" t="s">
        <v>607</v>
      </c>
      <c r="C15" s="372">
        <v>10175</v>
      </c>
      <c r="D15" s="372">
        <v>5291</v>
      </c>
      <c r="E15" s="373">
        <v>308</v>
      </c>
      <c r="F15" s="374">
        <v>15158</v>
      </c>
      <c r="G15" s="394">
        <v>4716</v>
      </c>
      <c r="H15" s="624">
        <v>864</v>
      </c>
      <c r="I15" s="624"/>
      <c r="J15" s="373">
        <v>297</v>
      </c>
      <c r="K15" s="374">
        <v>5283</v>
      </c>
      <c r="L15" s="378">
        <v>9875</v>
      </c>
      <c r="M15" s="625">
        <v>5459</v>
      </c>
      <c r="N15" s="625"/>
      <c r="O15" s="362"/>
      <c r="P15" s="379" t="s">
        <v>608</v>
      </c>
      <c r="Q15" s="395">
        <v>14708</v>
      </c>
      <c r="R15" s="396">
        <v>997</v>
      </c>
      <c r="S15" s="397">
        <v>371</v>
      </c>
      <c r="T15" s="398">
        <v>15334</v>
      </c>
      <c r="U15" s="399">
        <v>5283</v>
      </c>
      <c r="V15" s="400">
        <v>1137</v>
      </c>
      <c r="W15" s="397">
        <v>362</v>
      </c>
      <c r="X15" s="398">
        <v>6058</v>
      </c>
      <c r="Y15" s="398">
        <v>9276</v>
      </c>
      <c r="Z15" s="401">
        <v>9425</v>
      </c>
      <c r="AB15" s="388" t="s">
        <v>99</v>
      </c>
      <c r="AC15" s="389">
        <v>15334</v>
      </c>
      <c r="AD15" s="389">
        <v>3265</v>
      </c>
      <c r="AE15" s="670">
        <v>88</v>
      </c>
      <c r="AF15" s="670"/>
      <c r="AG15" s="391">
        <v>18511</v>
      </c>
      <c r="AH15" s="677">
        <v>6058</v>
      </c>
      <c r="AI15" s="677"/>
      <c r="AJ15" s="678">
        <v>1257</v>
      </c>
      <c r="AK15" s="678"/>
      <c r="AL15" s="390">
        <v>18</v>
      </c>
      <c r="AM15" s="391">
        <v>7297</v>
      </c>
      <c r="AN15" s="391">
        <v>11214</v>
      </c>
      <c r="AO15" s="389">
        <v>9276</v>
      </c>
    </row>
    <row r="16" spans="1:42" ht="30.6" customHeight="1" x14ac:dyDescent="0.3">
      <c r="A16" s="362"/>
      <c r="B16" s="412" t="s">
        <v>609</v>
      </c>
      <c r="C16" s="372">
        <v>9019</v>
      </c>
      <c r="D16" s="372">
        <v>4503</v>
      </c>
      <c r="E16" s="373">
        <v>333</v>
      </c>
      <c r="F16" s="374">
        <v>13189</v>
      </c>
      <c r="G16" s="394">
        <v>3947</v>
      </c>
      <c r="H16" s="625">
        <v>1143</v>
      </c>
      <c r="I16" s="625"/>
      <c r="J16" s="373">
        <v>314</v>
      </c>
      <c r="K16" s="374">
        <v>4776</v>
      </c>
      <c r="L16" s="378">
        <v>8413</v>
      </c>
      <c r="M16" s="625">
        <v>5072</v>
      </c>
      <c r="N16" s="625"/>
      <c r="O16" s="362"/>
      <c r="P16" s="413" t="s">
        <v>610</v>
      </c>
      <c r="Q16" s="395">
        <v>13143</v>
      </c>
      <c r="R16" s="396">
        <v>5402</v>
      </c>
      <c r="S16" s="414" t="s">
        <v>601</v>
      </c>
      <c r="T16" s="398">
        <v>18545</v>
      </c>
      <c r="U16" s="399">
        <v>5011</v>
      </c>
      <c r="V16" s="400">
        <v>1306</v>
      </c>
      <c r="W16" s="414" t="s">
        <v>601</v>
      </c>
      <c r="X16" s="398">
        <v>6317</v>
      </c>
      <c r="Y16" s="398">
        <v>12228</v>
      </c>
      <c r="Z16" s="401">
        <v>8132</v>
      </c>
      <c r="AB16" s="415" t="s">
        <v>611</v>
      </c>
      <c r="AC16" s="389">
        <v>18523</v>
      </c>
      <c r="AD16" s="389">
        <v>14252</v>
      </c>
      <c r="AE16" s="670">
        <v>137</v>
      </c>
      <c r="AF16" s="670"/>
      <c r="AG16" s="391">
        <v>32638</v>
      </c>
      <c r="AH16" s="677">
        <v>6083</v>
      </c>
      <c r="AI16" s="677"/>
      <c r="AJ16" s="678">
        <v>1993</v>
      </c>
      <c r="AK16" s="678"/>
      <c r="AL16" s="390">
        <v>7</v>
      </c>
      <c r="AM16" s="391">
        <v>8069</v>
      </c>
      <c r="AN16" s="391">
        <v>24569</v>
      </c>
      <c r="AO16" s="389">
        <v>12440</v>
      </c>
    </row>
    <row r="17" spans="1:42" ht="28.8" x14ac:dyDescent="0.3">
      <c r="A17" s="362"/>
      <c r="B17" s="371" t="s">
        <v>612</v>
      </c>
      <c r="C17" s="372">
        <v>2623</v>
      </c>
      <c r="D17" s="373">
        <v>899</v>
      </c>
      <c r="E17" s="373">
        <v>162</v>
      </c>
      <c r="F17" s="374">
        <v>3360</v>
      </c>
      <c r="G17" s="394">
        <v>1136</v>
      </c>
      <c r="H17" s="624">
        <v>346</v>
      </c>
      <c r="I17" s="624"/>
      <c r="J17" s="373">
        <v>131</v>
      </c>
      <c r="K17" s="374">
        <v>1351</v>
      </c>
      <c r="L17" s="378">
        <v>2009</v>
      </c>
      <c r="M17" s="632">
        <v>1487</v>
      </c>
      <c r="N17" s="632"/>
      <c r="O17" s="362"/>
      <c r="P17" s="379" t="s">
        <v>613</v>
      </c>
      <c r="Q17" s="395">
        <v>3360</v>
      </c>
      <c r="R17" s="396">
        <v>859</v>
      </c>
      <c r="S17" s="397">
        <v>37</v>
      </c>
      <c r="T17" s="398">
        <v>4182</v>
      </c>
      <c r="U17" s="399">
        <v>1351</v>
      </c>
      <c r="V17" s="416">
        <v>312</v>
      </c>
      <c r="W17" s="397">
        <v>17</v>
      </c>
      <c r="X17" s="398">
        <v>1646</v>
      </c>
      <c r="Y17" s="398">
        <v>2536</v>
      </c>
      <c r="Z17" s="401">
        <v>2009</v>
      </c>
      <c r="AB17" s="388" t="s">
        <v>100</v>
      </c>
      <c r="AC17" s="389">
        <v>4182</v>
      </c>
      <c r="AD17" s="389">
        <v>2325</v>
      </c>
      <c r="AE17" s="670">
        <v>48</v>
      </c>
      <c r="AF17" s="670"/>
      <c r="AG17" s="391">
        <v>6459</v>
      </c>
      <c r="AH17" s="677">
        <v>1646</v>
      </c>
      <c r="AI17" s="677"/>
      <c r="AJ17" s="685">
        <v>454</v>
      </c>
      <c r="AK17" s="685"/>
      <c r="AL17" s="390">
        <v>20</v>
      </c>
      <c r="AM17" s="391">
        <v>2080</v>
      </c>
      <c r="AN17" s="391">
        <v>4379</v>
      </c>
      <c r="AO17" s="389">
        <v>2536</v>
      </c>
    </row>
    <row r="18" spans="1:42" ht="14.4" customHeight="1" x14ac:dyDescent="0.3">
      <c r="A18" s="362"/>
      <c r="B18" s="371" t="s">
        <v>614</v>
      </c>
      <c r="C18" s="373">
        <v>697</v>
      </c>
      <c r="D18" s="373">
        <v>77</v>
      </c>
      <c r="E18" s="373">
        <v>55</v>
      </c>
      <c r="F18" s="417">
        <v>719</v>
      </c>
      <c r="G18" s="418">
        <v>524</v>
      </c>
      <c r="H18" s="624">
        <v>69</v>
      </c>
      <c r="I18" s="624"/>
      <c r="J18" s="373">
        <v>52</v>
      </c>
      <c r="K18" s="417">
        <v>541</v>
      </c>
      <c r="L18" s="419">
        <v>178</v>
      </c>
      <c r="M18" s="633">
        <v>173</v>
      </c>
      <c r="N18" s="633"/>
      <c r="O18" s="362"/>
      <c r="P18" s="379" t="s">
        <v>615</v>
      </c>
      <c r="Q18" s="420">
        <v>719</v>
      </c>
      <c r="R18" s="396">
        <v>106</v>
      </c>
      <c r="S18" s="397">
        <v>31</v>
      </c>
      <c r="T18" s="421">
        <v>794</v>
      </c>
      <c r="U18" s="422">
        <v>541</v>
      </c>
      <c r="V18" s="416">
        <v>66</v>
      </c>
      <c r="W18" s="397">
        <v>29</v>
      </c>
      <c r="X18" s="421">
        <v>578</v>
      </c>
      <c r="Y18" s="421">
        <v>216</v>
      </c>
      <c r="Z18" s="423">
        <v>178</v>
      </c>
      <c r="AB18" s="388" t="s">
        <v>101</v>
      </c>
      <c r="AC18" s="390">
        <v>794</v>
      </c>
      <c r="AD18" s="390">
        <v>129</v>
      </c>
      <c r="AE18" s="670">
        <v>20</v>
      </c>
      <c r="AF18" s="670"/>
      <c r="AG18" s="424">
        <v>903</v>
      </c>
      <c r="AH18" s="686">
        <v>578</v>
      </c>
      <c r="AI18" s="686"/>
      <c r="AJ18" s="685">
        <v>95</v>
      </c>
      <c r="AK18" s="685"/>
      <c r="AL18" s="390">
        <v>20</v>
      </c>
      <c r="AM18" s="424">
        <v>653</v>
      </c>
      <c r="AN18" s="424">
        <v>250</v>
      </c>
      <c r="AO18" s="390">
        <v>216</v>
      </c>
    </row>
    <row r="19" spans="1:42" ht="14.4" customHeight="1" x14ac:dyDescent="0.3">
      <c r="A19" s="362"/>
      <c r="B19" s="371" t="s">
        <v>616</v>
      </c>
      <c r="C19" s="373">
        <v>417</v>
      </c>
      <c r="D19" s="373">
        <v>90</v>
      </c>
      <c r="E19" s="373">
        <v>5</v>
      </c>
      <c r="F19" s="417">
        <v>502</v>
      </c>
      <c r="G19" s="418">
        <v>322</v>
      </c>
      <c r="H19" s="633">
        <v>12</v>
      </c>
      <c r="I19" s="633"/>
      <c r="J19" s="373">
        <v>5</v>
      </c>
      <c r="K19" s="417">
        <v>329</v>
      </c>
      <c r="L19" s="419">
        <v>173</v>
      </c>
      <c r="M19" s="633">
        <v>95</v>
      </c>
      <c r="N19" s="633"/>
      <c r="O19" s="362"/>
      <c r="P19" s="379" t="s">
        <v>617</v>
      </c>
      <c r="Q19" s="420">
        <v>502</v>
      </c>
      <c r="R19" s="396">
        <v>3</v>
      </c>
      <c r="S19" s="414" t="s">
        <v>601</v>
      </c>
      <c r="T19" s="421">
        <v>505</v>
      </c>
      <c r="U19" s="422">
        <v>329</v>
      </c>
      <c r="V19" s="416">
        <v>16</v>
      </c>
      <c r="W19" s="414" t="s">
        <v>601</v>
      </c>
      <c r="X19" s="421">
        <v>345</v>
      </c>
      <c r="Y19" s="421">
        <v>160</v>
      </c>
      <c r="Z19" s="423">
        <v>173</v>
      </c>
      <c r="AB19" s="388" t="s">
        <v>102</v>
      </c>
      <c r="AC19" s="390">
        <v>505</v>
      </c>
      <c r="AD19" s="390">
        <v>3</v>
      </c>
      <c r="AE19" s="671" t="s">
        <v>84</v>
      </c>
      <c r="AF19" s="671"/>
      <c r="AG19" s="424">
        <v>508</v>
      </c>
      <c r="AH19" s="686">
        <v>345</v>
      </c>
      <c r="AI19" s="686"/>
      <c r="AJ19" s="670">
        <v>16</v>
      </c>
      <c r="AK19" s="670"/>
      <c r="AL19" s="392" t="s">
        <v>84</v>
      </c>
      <c r="AM19" s="424">
        <v>361</v>
      </c>
      <c r="AN19" s="424">
        <v>147</v>
      </c>
      <c r="AO19" s="390">
        <v>160</v>
      </c>
    </row>
    <row r="20" spans="1:42" ht="28.8" x14ac:dyDescent="0.3">
      <c r="A20" s="362"/>
      <c r="B20" s="371" t="s">
        <v>618</v>
      </c>
      <c r="C20" s="373">
        <v>543</v>
      </c>
      <c r="D20" s="373">
        <v>90</v>
      </c>
      <c r="E20" s="376" t="s">
        <v>599</v>
      </c>
      <c r="F20" s="417">
        <v>633</v>
      </c>
      <c r="G20" s="418">
        <v>348</v>
      </c>
      <c r="H20" s="624">
        <v>78</v>
      </c>
      <c r="I20" s="624"/>
      <c r="J20" s="376" t="s">
        <v>599</v>
      </c>
      <c r="K20" s="417">
        <v>426</v>
      </c>
      <c r="L20" s="419">
        <v>207</v>
      </c>
      <c r="M20" s="634">
        <v>195</v>
      </c>
      <c r="N20" s="634"/>
      <c r="O20" s="362"/>
      <c r="P20" s="379" t="s">
        <v>619</v>
      </c>
      <c r="Q20" s="425">
        <v>633</v>
      </c>
      <c r="R20" s="426">
        <v>848</v>
      </c>
      <c r="S20" s="427" t="s">
        <v>601</v>
      </c>
      <c r="T20" s="428">
        <v>1481</v>
      </c>
      <c r="U20" s="429">
        <v>426</v>
      </c>
      <c r="V20" s="430">
        <v>49</v>
      </c>
      <c r="W20" s="427" t="s">
        <v>601</v>
      </c>
      <c r="X20" s="431">
        <v>475</v>
      </c>
      <c r="Y20" s="428">
        <v>1006</v>
      </c>
      <c r="Z20" s="432">
        <v>207</v>
      </c>
      <c r="AB20" s="415" t="s">
        <v>620</v>
      </c>
      <c r="AC20" s="433">
        <v>1481</v>
      </c>
      <c r="AD20" s="434">
        <v>85</v>
      </c>
      <c r="AE20" s="674" t="s">
        <v>84</v>
      </c>
      <c r="AF20" s="674"/>
      <c r="AG20" s="436">
        <v>1566</v>
      </c>
      <c r="AH20" s="693">
        <v>475</v>
      </c>
      <c r="AI20" s="693"/>
      <c r="AJ20" s="694">
        <v>275</v>
      </c>
      <c r="AK20" s="694"/>
      <c r="AL20" s="435" t="s">
        <v>84</v>
      </c>
      <c r="AM20" s="437">
        <v>750</v>
      </c>
      <c r="AN20" s="437">
        <v>816</v>
      </c>
      <c r="AO20" s="433">
        <v>1006</v>
      </c>
    </row>
    <row r="21" spans="1:42" ht="36" customHeight="1" x14ac:dyDescent="0.3">
      <c r="A21" s="362"/>
      <c r="B21" s="349" t="s">
        <v>621</v>
      </c>
      <c r="C21" s="438">
        <v>419370</v>
      </c>
      <c r="D21" s="438">
        <v>142087</v>
      </c>
      <c r="E21" s="439">
        <v>4364</v>
      </c>
      <c r="F21" s="440">
        <v>557093</v>
      </c>
      <c r="G21" s="441">
        <v>133979</v>
      </c>
      <c r="H21" s="635">
        <v>15000</v>
      </c>
      <c r="I21" s="635"/>
      <c r="J21" s="439">
        <v>2963</v>
      </c>
      <c r="K21" s="440">
        <v>146016</v>
      </c>
      <c r="L21" s="442">
        <v>411077</v>
      </c>
      <c r="M21" s="636">
        <v>285391</v>
      </c>
      <c r="N21" s="637"/>
      <c r="O21" s="362"/>
      <c r="P21" s="443" t="s">
        <v>622</v>
      </c>
      <c r="Q21" s="444">
        <v>557093</v>
      </c>
      <c r="R21" s="445">
        <v>33608</v>
      </c>
      <c r="S21" s="446">
        <v>3008</v>
      </c>
      <c r="T21" s="447">
        <v>587693</v>
      </c>
      <c r="U21" s="448">
        <v>146016</v>
      </c>
      <c r="V21" s="449">
        <v>17149</v>
      </c>
      <c r="W21" s="446">
        <v>2510</v>
      </c>
      <c r="X21" s="447">
        <v>160655</v>
      </c>
      <c r="Y21" s="447">
        <v>427038</v>
      </c>
      <c r="Z21" s="450">
        <v>411077</v>
      </c>
      <c r="AB21" s="451" t="s">
        <v>103</v>
      </c>
      <c r="AC21" s="452">
        <v>587921</v>
      </c>
      <c r="AD21" s="453">
        <v>71044</v>
      </c>
      <c r="AE21" s="672">
        <v>1645</v>
      </c>
      <c r="AF21" s="673"/>
      <c r="AG21" s="454">
        <v>657320</v>
      </c>
      <c r="AH21" s="687">
        <v>160789</v>
      </c>
      <c r="AI21" s="688"/>
      <c r="AJ21" s="689">
        <v>27728</v>
      </c>
      <c r="AK21" s="690"/>
      <c r="AL21" s="455">
        <v>974</v>
      </c>
      <c r="AM21" s="454">
        <v>187543</v>
      </c>
      <c r="AN21" s="454">
        <v>469777</v>
      </c>
      <c r="AO21" s="452">
        <v>427132</v>
      </c>
      <c r="AP21" s="188">
        <f>AO21/$AO$37</f>
        <v>0.80432203613246311</v>
      </c>
    </row>
    <row r="22" spans="1:42" x14ac:dyDescent="0.3">
      <c r="A22" s="362"/>
      <c r="B22" s="629" t="s">
        <v>623</v>
      </c>
      <c r="C22" s="629"/>
      <c r="D22" s="629"/>
      <c r="E22" s="629"/>
      <c r="F22" s="456"/>
      <c r="G22" s="630"/>
      <c r="H22" s="631"/>
      <c r="I22" s="631"/>
      <c r="J22" s="631"/>
      <c r="K22" s="456"/>
      <c r="L22" s="457"/>
      <c r="M22" s="631"/>
      <c r="N22" s="631"/>
      <c r="O22" s="362"/>
      <c r="P22" s="458" t="s">
        <v>624</v>
      </c>
      <c r="Q22" s="458"/>
      <c r="R22" s="458"/>
      <c r="S22" s="458"/>
      <c r="T22" s="459"/>
      <c r="U22" s="460"/>
      <c r="V22" s="460"/>
      <c r="W22" s="460"/>
      <c r="X22" s="646"/>
      <c r="Y22" s="646"/>
      <c r="Z22" s="461"/>
      <c r="AB22" s="663" t="s">
        <v>625</v>
      </c>
      <c r="AC22" s="663"/>
      <c r="AD22" s="663"/>
      <c r="AE22" s="663"/>
      <c r="AF22" s="663"/>
      <c r="AG22" s="462"/>
      <c r="AH22" s="691"/>
      <c r="AI22" s="691"/>
      <c r="AJ22" s="691"/>
      <c r="AK22" s="691"/>
      <c r="AL22" s="691"/>
      <c r="AM22" s="692"/>
      <c r="AN22" s="692"/>
      <c r="AO22" s="463"/>
    </row>
    <row r="23" spans="1:42" ht="14.4" customHeight="1" x14ac:dyDescent="0.3">
      <c r="A23" s="362"/>
      <c r="B23" s="371" t="s">
        <v>598</v>
      </c>
      <c r="C23" s="372">
        <v>18683</v>
      </c>
      <c r="D23" s="373">
        <v>210</v>
      </c>
      <c r="E23" s="376" t="s">
        <v>599</v>
      </c>
      <c r="F23" s="374">
        <v>18893</v>
      </c>
      <c r="G23" s="394">
        <v>1970</v>
      </c>
      <c r="H23" s="624">
        <v>310</v>
      </c>
      <c r="I23" s="624"/>
      <c r="J23" s="376" t="s">
        <v>599</v>
      </c>
      <c r="K23" s="374">
        <v>2280</v>
      </c>
      <c r="L23" s="378">
        <v>16613</v>
      </c>
      <c r="M23" s="625">
        <v>16713</v>
      </c>
      <c r="N23" s="625"/>
      <c r="O23" s="362"/>
      <c r="P23" s="379" t="s">
        <v>600</v>
      </c>
      <c r="Q23" s="380">
        <v>18893</v>
      </c>
      <c r="R23" s="381">
        <v>165</v>
      </c>
      <c r="S23" s="385" t="s">
        <v>601</v>
      </c>
      <c r="T23" s="383">
        <v>19058</v>
      </c>
      <c r="U23" s="464">
        <v>2280</v>
      </c>
      <c r="V23" s="465">
        <v>308</v>
      </c>
      <c r="W23" s="385" t="s">
        <v>601</v>
      </c>
      <c r="X23" s="383">
        <v>2588</v>
      </c>
      <c r="Y23" s="383">
        <v>16470</v>
      </c>
      <c r="Z23" s="387">
        <v>16613</v>
      </c>
      <c r="AB23" s="388" t="s">
        <v>96</v>
      </c>
      <c r="AC23" s="389">
        <v>18830</v>
      </c>
      <c r="AD23" s="390">
        <v>849</v>
      </c>
      <c r="AE23" s="670">
        <v>5</v>
      </c>
      <c r="AF23" s="670"/>
      <c r="AG23" s="391">
        <v>19674</v>
      </c>
      <c r="AH23" s="677">
        <v>2454</v>
      </c>
      <c r="AI23" s="677"/>
      <c r="AJ23" s="685">
        <v>348</v>
      </c>
      <c r="AK23" s="685"/>
      <c r="AL23" s="466" t="s">
        <v>626</v>
      </c>
      <c r="AM23" s="391">
        <v>2802</v>
      </c>
      <c r="AN23" s="391">
        <v>16872</v>
      </c>
      <c r="AO23" s="389">
        <v>16376</v>
      </c>
    </row>
    <row r="24" spans="1:42" ht="14.4" customHeight="1" x14ac:dyDescent="0.3">
      <c r="A24" s="362"/>
      <c r="B24" s="371" t="s">
        <v>603</v>
      </c>
      <c r="C24" s="376" t="s">
        <v>599</v>
      </c>
      <c r="D24" s="372">
        <v>2225</v>
      </c>
      <c r="E24" s="373">
        <v>17</v>
      </c>
      <c r="F24" s="374">
        <v>2208</v>
      </c>
      <c r="G24" s="375" t="s">
        <v>599</v>
      </c>
      <c r="H24" s="624">
        <v>300</v>
      </c>
      <c r="I24" s="624"/>
      <c r="J24" s="373">
        <v>1</v>
      </c>
      <c r="K24" s="417">
        <v>299</v>
      </c>
      <c r="L24" s="378">
        <v>1909</v>
      </c>
      <c r="M24" s="628" t="s">
        <v>599</v>
      </c>
      <c r="N24" s="628"/>
      <c r="O24" s="362"/>
      <c r="P24" s="379" t="s">
        <v>604</v>
      </c>
      <c r="Q24" s="395">
        <v>2208</v>
      </c>
      <c r="R24" s="396">
        <v>652</v>
      </c>
      <c r="S24" s="397">
        <v>146</v>
      </c>
      <c r="T24" s="398">
        <v>2714</v>
      </c>
      <c r="U24" s="422">
        <v>299</v>
      </c>
      <c r="V24" s="416">
        <v>392</v>
      </c>
      <c r="W24" s="397">
        <v>55</v>
      </c>
      <c r="X24" s="421">
        <v>636</v>
      </c>
      <c r="Y24" s="398">
        <v>2078</v>
      </c>
      <c r="Z24" s="401">
        <v>1909</v>
      </c>
      <c r="AB24" s="388" t="s">
        <v>97</v>
      </c>
      <c r="AC24" s="389">
        <v>2714</v>
      </c>
      <c r="AD24" s="389">
        <v>3269</v>
      </c>
      <c r="AE24" s="670">
        <v>104</v>
      </c>
      <c r="AF24" s="670"/>
      <c r="AG24" s="391">
        <v>5879</v>
      </c>
      <c r="AH24" s="686">
        <v>636</v>
      </c>
      <c r="AI24" s="686"/>
      <c r="AJ24" s="685">
        <v>883</v>
      </c>
      <c r="AK24" s="685"/>
      <c r="AL24" s="390">
        <v>59</v>
      </c>
      <c r="AM24" s="391">
        <v>1460</v>
      </c>
      <c r="AN24" s="391">
        <v>4419</v>
      </c>
      <c r="AO24" s="389">
        <v>2078</v>
      </c>
    </row>
    <row r="25" spans="1:42" ht="28.8" x14ac:dyDescent="0.3">
      <c r="A25" s="362"/>
      <c r="B25" s="371" t="s">
        <v>605</v>
      </c>
      <c r="C25" s="373">
        <v>318</v>
      </c>
      <c r="D25" s="372">
        <v>7446</v>
      </c>
      <c r="E25" s="376" t="s">
        <v>599</v>
      </c>
      <c r="F25" s="374">
        <v>7764</v>
      </c>
      <c r="G25" s="418">
        <v>307</v>
      </c>
      <c r="H25" s="625">
        <v>1189</v>
      </c>
      <c r="I25" s="625"/>
      <c r="J25" s="373">
        <v>8</v>
      </c>
      <c r="K25" s="374">
        <v>1488</v>
      </c>
      <c r="L25" s="378">
        <v>6276</v>
      </c>
      <c r="M25" s="633">
        <v>11</v>
      </c>
      <c r="N25" s="633"/>
      <c r="O25" s="362"/>
      <c r="P25" s="379" t="s">
        <v>606</v>
      </c>
      <c r="Q25" s="395">
        <v>7764</v>
      </c>
      <c r="R25" s="396">
        <v>424</v>
      </c>
      <c r="S25" s="397">
        <v>84</v>
      </c>
      <c r="T25" s="398">
        <v>8104</v>
      </c>
      <c r="U25" s="399">
        <v>1488</v>
      </c>
      <c r="V25" s="400">
        <v>1248</v>
      </c>
      <c r="W25" s="397">
        <v>81</v>
      </c>
      <c r="X25" s="398">
        <v>2655</v>
      </c>
      <c r="Y25" s="398">
        <v>5449</v>
      </c>
      <c r="Z25" s="401">
        <v>6276</v>
      </c>
      <c r="AB25" s="388" t="s">
        <v>98</v>
      </c>
      <c r="AC25" s="389">
        <v>8104</v>
      </c>
      <c r="AD25" s="389">
        <v>5889</v>
      </c>
      <c r="AE25" s="671" t="s">
        <v>84</v>
      </c>
      <c r="AF25" s="671"/>
      <c r="AG25" s="391">
        <v>13993</v>
      </c>
      <c r="AH25" s="677">
        <v>2655</v>
      </c>
      <c r="AI25" s="677"/>
      <c r="AJ25" s="678">
        <v>1968</v>
      </c>
      <c r="AK25" s="678"/>
      <c r="AL25" s="392" t="s">
        <v>84</v>
      </c>
      <c r="AM25" s="391">
        <v>4623</v>
      </c>
      <c r="AN25" s="391">
        <v>9370</v>
      </c>
      <c r="AO25" s="389">
        <v>5449</v>
      </c>
    </row>
    <row r="26" spans="1:42" ht="14.4" customHeight="1" x14ac:dyDescent="0.3">
      <c r="A26" s="362"/>
      <c r="B26" s="371" t="s">
        <v>614</v>
      </c>
      <c r="C26" s="376" t="s">
        <v>599</v>
      </c>
      <c r="D26" s="373">
        <v>57</v>
      </c>
      <c r="E26" s="467">
        <v>-2</v>
      </c>
      <c r="F26" s="417">
        <v>59</v>
      </c>
      <c r="G26" s="375" t="s">
        <v>599</v>
      </c>
      <c r="H26" s="643">
        <v>14</v>
      </c>
      <c r="I26" s="643"/>
      <c r="J26" s="376" t="s">
        <v>599</v>
      </c>
      <c r="K26" s="417">
        <v>14</v>
      </c>
      <c r="L26" s="419">
        <v>45</v>
      </c>
      <c r="M26" s="628" t="s">
        <v>599</v>
      </c>
      <c r="N26" s="628"/>
      <c r="O26" s="362"/>
      <c r="P26" s="379" t="s">
        <v>615</v>
      </c>
      <c r="Q26" s="420">
        <v>59</v>
      </c>
      <c r="R26" s="396">
        <v>2</v>
      </c>
      <c r="S26" s="414" t="s">
        <v>601</v>
      </c>
      <c r="T26" s="421">
        <v>61</v>
      </c>
      <c r="U26" s="422">
        <v>14</v>
      </c>
      <c r="V26" s="416">
        <v>16</v>
      </c>
      <c r="W26" s="414" t="s">
        <v>601</v>
      </c>
      <c r="X26" s="421">
        <v>30</v>
      </c>
      <c r="Y26" s="421">
        <v>31</v>
      </c>
      <c r="Z26" s="423">
        <v>45</v>
      </c>
      <c r="AB26" s="388" t="s">
        <v>101</v>
      </c>
      <c r="AC26" s="390">
        <v>61</v>
      </c>
      <c r="AD26" s="392" t="s">
        <v>84</v>
      </c>
      <c r="AE26" s="671" t="s">
        <v>84</v>
      </c>
      <c r="AF26" s="671"/>
      <c r="AG26" s="424">
        <v>61</v>
      </c>
      <c r="AH26" s="670">
        <v>30</v>
      </c>
      <c r="AI26" s="670"/>
      <c r="AJ26" s="670">
        <v>15</v>
      </c>
      <c r="AK26" s="670"/>
      <c r="AL26" s="392" t="s">
        <v>84</v>
      </c>
      <c r="AM26" s="424">
        <v>45</v>
      </c>
      <c r="AN26" s="424">
        <v>16</v>
      </c>
      <c r="AO26" s="390">
        <v>31</v>
      </c>
    </row>
    <row r="27" spans="1:42" ht="14.4" customHeight="1" x14ac:dyDescent="0.3">
      <c r="A27" s="362"/>
      <c r="B27" s="371" t="s">
        <v>616</v>
      </c>
      <c r="C27" s="373">
        <v>10</v>
      </c>
      <c r="D27" s="376" t="s">
        <v>599</v>
      </c>
      <c r="E27" s="376" t="s">
        <v>599</v>
      </c>
      <c r="F27" s="417">
        <v>10</v>
      </c>
      <c r="G27" s="418">
        <v>10</v>
      </c>
      <c r="H27" s="628" t="s">
        <v>599</v>
      </c>
      <c r="I27" s="628"/>
      <c r="J27" s="376" t="s">
        <v>599</v>
      </c>
      <c r="K27" s="417">
        <v>10</v>
      </c>
      <c r="L27" s="468" t="s">
        <v>599</v>
      </c>
      <c r="M27" s="628" t="s">
        <v>599</v>
      </c>
      <c r="N27" s="628"/>
      <c r="O27" s="362"/>
      <c r="P27" s="379" t="s">
        <v>617</v>
      </c>
      <c r="Q27" s="425">
        <v>10</v>
      </c>
      <c r="R27" s="426">
        <v>0</v>
      </c>
      <c r="S27" s="427" t="s">
        <v>601</v>
      </c>
      <c r="T27" s="431">
        <v>10</v>
      </c>
      <c r="U27" s="429">
        <v>10</v>
      </c>
      <c r="V27" s="426" t="s">
        <v>601</v>
      </c>
      <c r="W27" s="427" t="s">
        <v>601</v>
      </c>
      <c r="X27" s="431">
        <v>10</v>
      </c>
      <c r="Y27" s="469" t="s">
        <v>601</v>
      </c>
      <c r="Z27" s="470" t="s">
        <v>601</v>
      </c>
      <c r="AB27" s="388" t="s">
        <v>102</v>
      </c>
      <c r="AC27" s="434">
        <v>10</v>
      </c>
      <c r="AD27" s="435" t="s">
        <v>84</v>
      </c>
      <c r="AE27" s="674" t="s">
        <v>84</v>
      </c>
      <c r="AF27" s="674"/>
      <c r="AG27" s="437">
        <v>10</v>
      </c>
      <c r="AH27" s="700">
        <v>10</v>
      </c>
      <c r="AI27" s="700"/>
      <c r="AJ27" s="674" t="s">
        <v>84</v>
      </c>
      <c r="AK27" s="674"/>
      <c r="AL27" s="435" t="s">
        <v>84</v>
      </c>
      <c r="AM27" s="437">
        <v>10</v>
      </c>
      <c r="AN27" s="471" t="s">
        <v>602</v>
      </c>
      <c r="AO27" s="435" t="s">
        <v>84</v>
      </c>
    </row>
    <row r="28" spans="1:42" ht="36" customHeight="1" x14ac:dyDescent="0.3">
      <c r="A28" s="362"/>
      <c r="B28" s="349" t="s">
        <v>621</v>
      </c>
      <c r="C28" s="439">
        <v>19011</v>
      </c>
      <c r="D28" s="439">
        <v>9938</v>
      </c>
      <c r="E28" s="472">
        <v>15</v>
      </c>
      <c r="F28" s="473">
        <v>28934</v>
      </c>
      <c r="G28" s="474">
        <v>2287</v>
      </c>
      <c r="H28" s="644">
        <v>1813</v>
      </c>
      <c r="I28" s="644"/>
      <c r="J28" s="472">
        <v>9</v>
      </c>
      <c r="K28" s="473">
        <v>4091</v>
      </c>
      <c r="L28" s="475">
        <v>24843</v>
      </c>
      <c r="M28" s="645">
        <v>16724</v>
      </c>
      <c r="N28" s="645"/>
      <c r="O28" s="362"/>
      <c r="P28" s="476" t="s">
        <v>622</v>
      </c>
      <c r="Q28" s="444">
        <v>28934</v>
      </c>
      <c r="R28" s="445">
        <v>1243</v>
      </c>
      <c r="S28" s="477">
        <v>230</v>
      </c>
      <c r="T28" s="478">
        <v>29947</v>
      </c>
      <c r="U28" s="479">
        <v>4091</v>
      </c>
      <c r="V28" s="449">
        <v>1964</v>
      </c>
      <c r="W28" s="477">
        <v>136</v>
      </c>
      <c r="X28" s="478">
        <v>5919</v>
      </c>
      <c r="Y28" s="478">
        <v>24028</v>
      </c>
      <c r="Z28" s="480">
        <v>24843</v>
      </c>
      <c r="AB28" s="451" t="s">
        <v>103</v>
      </c>
      <c r="AC28" s="453">
        <v>29719</v>
      </c>
      <c r="AD28" s="453">
        <v>10007</v>
      </c>
      <c r="AE28" s="701">
        <v>109</v>
      </c>
      <c r="AF28" s="702"/>
      <c r="AG28" s="481">
        <v>39617</v>
      </c>
      <c r="AH28" s="703">
        <v>5785</v>
      </c>
      <c r="AI28" s="704"/>
      <c r="AJ28" s="705">
        <v>3214</v>
      </c>
      <c r="AK28" s="706"/>
      <c r="AL28" s="455">
        <v>59</v>
      </c>
      <c r="AM28" s="481">
        <v>8940</v>
      </c>
      <c r="AN28" s="481">
        <v>30677</v>
      </c>
      <c r="AO28" s="453">
        <v>23934</v>
      </c>
      <c r="AP28" s="188">
        <f>AO28/$AO$37</f>
        <v>4.506954199824497E-2</v>
      </c>
    </row>
    <row r="29" spans="1:42" ht="36" customHeight="1" x14ac:dyDescent="0.3">
      <c r="A29" s="362"/>
      <c r="B29" s="349" t="s">
        <v>627</v>
      </c>
      <c r="C29" s="482">
        <v>438381</v>
      </c>
      <c r="D29" s="482">
        <v>152025</v>
      </c>
      <c r="E29" s="483">
        <v>4379</v>
      </c>
      <c r="F29" s="484">
        <v>586027</v>
      </c>
      <c r="G29" s="485">
        <v>136266</v>
      </c>
      <c r="H29" s="638">
        <v>16813</v>
      </c>
      <c r="I29" s="638"/>
      <c r="J29" s="483">
        <v>2972</v>
      </c>
      <c r="K29" s="484">
        <v>150107</v>
      </c>
      <c r="L29" s="485">
        <v>435920</v>
      </c>
      <c r="M29" s="639">
        <v>302115</v>
      </c>
      <c r="N29" s="640"/>
      <c r="O29" s="362"/>
      <c r="P29" s="486" t="s">
        <v>628</v>
      </c>
      <c r="Q29" s="487">
        <v>586027</v>
      </c>
      <c r="R29" s="445">
        <v>34851</v>
      </c>
      <c r="S29" s="446">
        <v>3238</v>
      </c>
      <c r="T29" s="447">
        <v>617640</v>
      </c>
      <c r="U29" s="448">
        <v>150107</v>
      </c>
      <c r="V29" s="449">
        <v>19113</v>
      </c>
      <c r="W29" s="446">
        <v>2646</v>
      </c>
      <c r="X29" s="447">
        <v>166574</v>
      </c>
      <c r="Y29" s="447">
        <v>451066</v>
      </c>
      <c r="Z29" s="450">
        <v>435920</v>
      </c>
      <c r="AB29" s="451" t="s">
        <v>104</v>
      </c>
      <c r="AC29" s="454">
        <v>617640</v>
      </c>
      <c r="AD29" s="481">
        <v>81051</v>
      </c>
      <c r="AE29" s="675">
        <v>1754</v>
      </c>
      <c r="AF29" s="676"/>
      <c r="AG29" s="488">
        <v>696937</v>
      </c>
      <c r="AH29" s="695">
        <v>166574</v>
      </c>
      <c r="AI29" s="696"/>
      <c r="AJ29" s="697">
        <v>30942</v>
      </c>
      <c r="AK29" s="698"/>
      <c r="AL29" s="481">
        <v>1033</v>
      </c>
      <c r="AM29" s="488">
        <v>196483</v>
      </c>
      <c r="AN29" s="488">
        <v>500454</v>
      </c>
      <c r="AO29" s="454">
        <v>451066</v>
      </c>
      <c r="AP29" s="188">
        <f>AO29/$AO$37</f>
        <v>0.84939157813070809</v>
      </c>
    </row>
    <row r="30" spans="1:42" x14ac:dyDescent="0.3">
      <c r="A30" s="74"/>
      <c r="B30" s="629" t="s">
        <v>629</v>
      </c>
      <c r="C30" s="629"/>
      <c r="D30" s="629"/>
      <c r="E30" s="629"/>
      <c r="F30" s="489"/>
      <c r="G30" s="641"/>
      <c r="H30" s="642"/>
      <c r="I30" s="642"/>
      <c r="J30" s="642"/>
      <c r="K30" s="489"/>
      <c r="L30" s="490"/>
      <c r="M30" s="642"/>
      <c r="N30" s="642"/>
      <c r="O30" s="74"/>
      <c r="P30" s="491" t="s">
        <v>630</v>
      </c>
      <c r="Q30" s="491"/>
      <c r="R30" s="491"/>
      <c r="S30" s="491"/>
      <c r="T30" s="459"/>
      <c r="U30" s="460"/>
      <c r="V30" s="460"/>
      <c r="W30" s="460"/>
      <c r="X30" s="646"/>
      <c r="Y30" s="646"/>
      <c r="Z30" s="461"/>
      <c r="AB30" s="699" t="s">
        <v>631</v>
      </c>
      <c r="AC30" s="699"/>
      <c r="AD30" s="699"/>
      <c r="AE30" s="699"/>
      <c r="AF30" s="699"/>
      <c r="AG30" s="360"/>
      <c r="AH30" s="664"/>
      <c r="AI30" s="664"/>
      <c r="AJ30" s="664"/>
      <c r="AK30" s="664"/>
      <c r="AL30" s="664"/>
      <c r="AM30" s="665"/>
      <c r="AN30" s="665"/>
      <c r="AO30" s="361"/>
    </row>
    <row r="31" spans="1:42" ht="28.8" x14ac:dyDescent="0.3">
      <c r="A31" s="362"/>
      <c r="B31" s="371" t="s">
        <v>632</v>
      </c>
      <c r="C31" s="372">
        <v>5406</v>
      </c>
      <c r="D31" s="373">
        <v>535</v>
      </c>
      <c r="E31" s="467">
        <v>-20</v>
      </c>
      <c r="F31" s="374">
        <v>5961</v>
      </c>
      <c r="G31" s="394">
        <v>3756</v>
      </c>
      <c r="H31" s="624">
        <v>245</v>
      </c>
      <c r="I31" s="624"/>
      <c r="J31" s="467">
        <v>-20</v>
      </c>
      <c r="K31" s="374">
        <v>4021</v>
      </c>
      <c r="L31" s="378">
        <v>1940</v>
      </c>
      <c r="M31" s="632">
        <v>1650</v>
      </c>
      <c r="N31" s="632"/>
      <c r="O31" s="362"/>
      <c r="P31" s="379" t="s">
        <v>633</v>
      </c>
      <c r="Q31" s="380">
        <v>5961</v>
      </c>
      <c r="R31" s="381">
        <v>55</v>
      </c>
      <c r="S31" s="382">
        <v>27</v>
      </c>
      <c r="T31" s="383">
        <v>5989</v>
      </c>
      <c r="U31" s="464">
        <v>4021</v>
      </c>
      <c r="V31" s="465">
        <v>173</v>
      </c>
      <c r="W31" s="382">
        <v>27</v>
      </c>
      <c r="X31" s="383">
        <v>4167</v>
      </c>
      <c r="Y31" s="383">
        <v>1822</v>
      </c>
      <c r="Z31" s="387">
        <v>1940</v>
      </c>
      <c r="AB31" s="388" t="s">
        <v>105</v>
      </c>
      <c r="AC31" s="389">
        <v>5989</v>
      </c>
      <c r="AD31" s="390">
        <v>90</v>
      </c>
      <c r="AE31" s="671" t="s">
        <v>84</v>
      </c>
      <c r="AF31" s="671"/>
      <c r="AG31" s="391">
        <v>6079</v>
      </c>
      <c r="AH31" s="677">
        <v>4167</v>
      </c>
      <c r="AI31" s="677"/>
      <c r="AJ31" s="685">
        <v>173</v>
      </c>
      <c r="AK31" s="685"/>
      <c r="AL31" s="392" t="s">
        <v>84</v>
      </c>
      <c r="AM31" s="391">
        <v>4340</v>
      </c>
      <c r="AN31" s="391">
        <v>1739</v>
      </c>
      <c r="AO31" s="389">
        <v>1822</v>
      </c>
    </row>
    <row r="32" spans="1:42" ht="28.8" customHeight="1" x14ac:dyDescent="0.3">
      <c r="A32" s="362"/>
      <c r="B32" s="371" t="s">
        <v>634</v>
      </c>
      <c r="C32" s="372">
        <v>58139</v>
      </c>
      <c r="D32" s="372">
        <v>2768</v>
      </c>
      <c r="E32" s="376" t="s">
        <v>599</v>
      </c>
      <c r="F32" s="374">
        <v>60907</v>
      </c>
      <c r="G32" s="394">
        <v>2919</v>
      </c>
      <c r="H32" s="621">
        <v>2485</v>
      </c>
      <c r="I32" s="621"/>
      <c r="J32" s="376" t="s">
        <v>599</v>
      </c>
      <c r="K32" s="374">
        <v>5404</v>
      </c>
      <c r="L32" s="378">
        <v>55503</v>
      </c>
      <c r="M32" s="625">
        <v>55220</v>
      </c>
      <c r="N32" s="625"/>
      <c r="O32" s="362"/>
      <c r="P32" s="379" t="s">
        <v>635</v>
      </c>
      <c r="Q32" s="395">
        <v>60907</v>
      </c>
      <c r="R32" s="396">
        <v>0</v>
      </c>
      <c r="S32" s="414" t="s">
        <v>601</v>
      </c>
      <c r="T32" s="398">
        <v>60907</v>
      </c>
      <c r="U32" s="399">
        <v>5404</v>
      </c>
      <c r="V32" s="400">
        <v>4214</v>
      </c>
      <c r="W32" s="414" t="s">
        <v>601</v>
      </c>
      <c r="X32" s="398">
        <v>9618</v>
      </c>
      <c r="Y32" s="398">
        <v>51289</v>
      </c>
      <c r="Z32" s="401">
        <v>55503</v>
      </c>
      <c r="AB32" s="388" t="s">
        <v>106</v>
      </c>
      <c r="AC32" s="389">
        <v>60907</v>
      </c>
      <c r="AD32" s="389">
        <v>32270</v>
      </c>
      <c r="AE32" s="671" t="s">
        <v>84</v>
      </c>
      <c r="AF32" s="671"/>
      <c r="AG32" s="391">
        <v>93177</v>
      </c>
      <c r="AH32" s="677">
        <v>9618</v>
      </c>
      <c r="AI32" s="677"/>
      <c r="AJ32" s="678">
        <v>3855</v>
      </c>
      <c r="AK32" s="678"/>
      <c r="AL32" s="392" t="s">
        <v>84</v>
      </c>
      <c r="AM32" s="391">
        <v>13473</v>
      </c>
      <c r="AN32" s="391">
        <v>79704</v>
      </c>
      <c r="AO32" s="389">
        <v>51289</v>
      </c>
    </row>
    <row r="33" spans="1:42" ht="14.4" customHeight="1" x14ac:dyDescent="0.3">
      <c r="A33" s="362"/>
      <c r="B33" s="371" t="s">
        <v>636</v>
      </c>
      <c r="C33" s="372">
        <v>8294</v>
      </c>
      <c r="D33" s="372">
        <v>1460</v>
      </c>
      <c r="E33" s="373">
        <v>273</v>
      </c>
      <c r="F33" s="374">
        <v>9481</v>
      </c>
      <c r="G33" s="394">
        <v>2613</v>
      </c>
      <c r="H33" s="621">
        <v>1045</v>
      </c>
      <c r="I33" s="621"/>
      <c r="J33" s="373">
        <v>232</v>
      </c>
      <c r="K33" s="374">
        <v>3426</v>
      </c>
      <c r="L33" s="378">
        <v>6055</v>
      </c>
      <c r="M33" s="632">
        <v>5681</v>
      </c>
      <c r="N33" s="632"/>
      <c r="O33" s="362"/>
      <c r="P33" s="379" t="s">
        <v>637</v>
      </c>
      <c r="Q33" s="395">
        <v>9481</v>
      </c>
      <c r="R33" s="396">
        <v>3889</v>
      </c>
      <c r="S33" s="397">
        <v>8</v>
      </c>
      <c r="T33" s="398">
        <v>13362</v>
      </c>
      <c r="U33" s="399">
        <v>3426</v>
      </c>
      <c r="V33" s="400">
        <v>1368</v>
      </c>
      <c r="W33" s="397">
        <v>4</v>
      </c>
      <c r="X33" s="398">
        <v>4790</v>
      </c>
      <c r="Y33" s="398">
        <v>8572</v>
      </c>
      <c r="Z33" s="401">
        <v>6055</v>
      </c>
      <c r="AB33" s="388" t="s">
        <v>107</v>
      </c>
      <c r="AC33" s="389">
        <v>12328</v>
      </c>
      <c r="AD33" s="389">
        <v>1622</v>
      </c>
      <c r="AE33" s="671" t="s">
        <v>84</v>
      </c>
      <c r="AF33" s="671"/>
      <c r="AG33" s="391">
        <v>13950</v>
      </c>
      <c r="AH33" s="677">
        <v>4790</v>
      </c>
      <c r="AI33" s="677"/>
      <c r="AJ33" s="678">
        <v>1544</v>
      </c>
      <c r="AK33" s="678"/>
      <c r="AL33" s="392" t="s">
        <v>84</v>
      </c>
      <c r="AM33" s="391">
        <v>6334</v>
      </c>
      <c r="AN33" s="391">
        <v>7616</v>
      </c>
      <c r="AO33" s="389">
        <v>7538</v>
      </c>
    </row>
    <row r="34" spans="1:42" ht="43.2" customHeight="1" x14ac:dyDescent="0.3">
      <c r="A34" s="362"/>
      <c r="B34" s="371" t="s">
        <v>638</v>
      </c>
      <c r="C34" s="372">
        <v>69362</v>
      </c>
      <c r="D34" s="372">
        <v>2081</v>
      </c>
      <c r="E34" s="372">
        <v>6201</v>
      </c>
      <c r="F34" s="374">
        <v>65242</v>
      </c>
      <c r="G34" s="394">
        <v>51165</v>
      </c>
      <c r="H34" s="621">
        <v>1740</v>
      </c>
      <c r="I34" s="621"/>
      <c r="J34" s="372">
        <v>6472</v>
      </c>
      <c r="K34" s="374">
        <v>46433</v>
      </c>
      <c r="L34" s="378">
        <v>18809</v>
      </c>
      <c r="M34" s="625">
        <v>18197</v>
      </c>
      <c r="N34" s="625"/>
      <c r="O34" s="362"/>
      <c r="P34" s="379" t="s">
        <v>639</v>
      </c>
      <c r="Q34" s="395">
        <v>65242</v>
      </c>
      <c r="R34" s="396">
        <v>7559</v>
      </c>
      <c r="S34" s="406">
        <v>11649</v>
      </c>
      <c r="T34" s="398">
        <v>61152</v>
      </c>
      <c r="U34" s="399">
        <v>46433</v>
      </c>
      <c r="V34" s="400">
        <v>1664</v>
      </c>
      <c r="W34" s="397">
        <v>684</v>
      </c>
      <c r="X34" s="398">
        <v>47413</v>
      </c>
      <c r="Y34" s="398">
        <v>13739</v>
      </c>
      <c r="Z34" s="401">
        <v>18809</v>
      </c>
      <c r="AB34" s="388" t="s">
        <v>108</v>
      </c>
      <c r="AC34" s="389">
        <v>61152</v>
      </c>
      <c r="AD34" s="389">
        <v>3868</v>
      </c>
      <c r="AE34" s="707">
        <v>18138</v>
      </c>
      <c r="AF34" s="707"/>
      <c r="AG34" s="391">
        <v>46882</v>
      </c>
      <c r="AH34" s="677">
        <v>47413</v>
      </c>
      <c r="AI34" s="677"/>
      <c r="AJ34" s="678">
        <v>2506</v>
      </c>
      <c r="AK34" s="678"/>
      <c r="AL34" s="389">
        <v>17433</v>
      </c>
      <c r="AM34" s="391">
        <v>32486</v>
      </c>
      <c r="AN34" s="391">
        <v>14396</v>
      </c>
      <c r="AO34" s="389">
        <v>13739</v>
      </c>
    </row>
    <row r="35" spans="1:42" ht="14.4" customHeight="1" x14ac:dyDescent="0.3">
      <c r="A35" s="362"/>
      <c r="B35" s="371" t="s">
        <v>640</v>
      </c>
      <c r="C35" s="492">
        <v>4943</v>
      </c>
      <c r="D35" s="493">
        <v>992</v>
      </c>
      <c r="E35" s="493">
        <v>24</v>
      </c>
      <c r="F35" s="494">
        <v>5911</v>
      </c>
      <c r="G35" s="495">
        <v>1429</v>
      </c>
      <c r="H35" s="657">
        <v>341</v>
      </c>
      <c r="I35" s="657"/>
      <c r="J35" s="493">
        <v>31</v>
      </c>
      <c r="K35" s="494">
        <v>1739</v>
      </c>
      <c r="L35" s="496">
        <v>4172</v>
      </c>
      <c r="M35" s="658">
        <v>3514</v>
      </c>
      <c r="N35" s="658"/>
      <c r="O35" s="362"/>
      <c r="P35" s="379" t="s">
        <v>641</v>
      </c>
      <c r="Q35" s="497">
        <v>5911</v>
      </c>
      <c r="R35" s="426">
        <v>647</v>
      </c>
      <c r="S35" s="498">
        <v>8</v>
      </c>
      <c r="T35" s="428">
        <v>6550</v>
      </c>
      <c r="U35" s="499">
        <v>1739</v>
      </c>
      <c r="V35" s="430">
        <v>261</v>
      </c>
      <c r="W35" s="498">
        <v>8</v>
      </c>
      <c r="X35" s="428">
        <v>1992</v>
      </c>
      <c r="Y35" s="428">
        <v>4558</v>
      </c>
      <c r="Z35" s="500">
        <v>4172</v>
      </c>
      <c r="AB35" s="388" t="s">
        <v>82</v>
      </c>
      <c r="AC35" s="433">
        <v>7584</v>
      </c>
      <c r="AD35" s="433">
        <v>6023</v>
      </c>
      <c r="AE35" s="700">
        <v>17</v>
      </c>
      <c r="AF35" s="700"/>
      <c r="AG35" s="436">
        <v>13590</v>
      </c>
      <c r="AH35" s="718">
        <v>1992</v>
      </c>
      <c r="AI35" s="718"/>
      <c r="AJ35" s="694">
        <v>733</v>
      </c>
      <c r="AK35" s="694"/>
      <c r="AL35" s="434">
        <v>15</v>
      </c>
      <c r="AM35" s="436">
        <v>2710</v>
      </c>
      <c r="AN35" s="436">
        <v>10880</v>
      </c>
      <c r="AO35" s="433">
        <v>5592</v>
      </c>
    </row>
    <row r="36" spans="1:42" ht="36" customHeight="1" x14ac:dyDescent="0.3">
      <c r="A36" s="362"/>
      <c r="B36" s="349" t="s">
        <v>642</v>
      </c>
      <c r="C36" s="482">
        <v>146144</v>
      </c>
      <c r="D36" s="483">
        <v>7836</v>
      </c>
      <c r="E36" s="483">
        <v>6478</v>
      </c>
      <c r="F36" s="484">
        <v>147502</v>
      </c>
      <c r="G36" s="501">
        <v>61882</v>
      </c>
      <c r="H36" s="638">
        <v>5856</v>
      </c>
      <c r="I36" s="638"/>
      <c r="J36" s="483">
        <v>6715</v>
      </c>
      <c r="K36" s="502">
        <v>61023</v>
      </c>
      <c r="L36" s="501">
        <v>86479</v>
      </c>
      <c r="M36" s="659">
        <v>84262</v>
      </c>
      <c r="N36" s="659"/>
      <c r="O36" s="362"/>
      <c r="P36" s="476" t="s">
        <v>643</v>
      </c>
      <c r="Q36" s="444">
        <v>147502</v>
      </c>
      <c r="R36" s="445">
        <v>12150</v>
      </c>
      <c r="S36" s="446">
        <v>11692</v>
      </c>
      <c r="T36" s="447">
        <v>147960</v>
      </c>
      <c r="U36" s="479">
        <v>61023</v>
      </c>
      <c r="V36" s="449">
        <v>7680</v>
      </c>
      <c r="W36" s="477">
        <v>723</v>
      </c>
      <c r="X36" s="478">
        <v>67980</v>
      </c>
      <c r="Y36" s="478">
        <v>79980</v>
      </c>
      <c r="Z36" s="480">
        <v>86479</v>
      </c>
      <c r="AB36" s="451" t="s">
        <v>109</v>
      </c>
      <c r="AC36" s="452">
        <v>147960</v>
      </c>
      <c r="AD36" s="453">
        <v>43873</v>
      </c>
      <c r="AE36" s="672">
        <v>18155</v>
      </c>
      <c r="AF36" s="673"/>
      <c r="AG36" s="454">
        <v>173678</v>
      </c>
      <c r="AH36" s="705">
        <v>67980</v>
      </c>
      <c r="AI36" s="706"/>
      <c r="AJ36" s="705">
        <v>8811</v>
      </c>
      <c r="AK36" s="706"/>
      <c r="AL36" s="453">
        <v>17448</v>
      </c>
      <c r="AM36" s="481">
        <v>59343</v>
      </c>
      <c r="AN36" s="454">
        <v>114335</v>
      </c>
      <c r="AO36" s="453">
        <v>79980</v>
      </c>
      <c r="AP36" s="188">
        <f>AO36/$AO$37</f>
        <v>0.15060842186929194</v>
      </c>
    </row>
    <row r="37" spans="1:42" ht="36" customHeight="1" x14ac:dyDescent="0.3">
      <c r="A37" s="362"/>
      <c r="B37" s="349" t="s">
        <v>644</v>
      </c>
      <c r="C37" s="482">
        <v>584525</v>
      </c>
      <c r="D37" s="482">
        <v>159861</v>
      </c>
      <c r="E37" s="483">
        <v>10857</v>
      </c>
      <c r="F37" s="484">
        <v>733529</v>
      </c>
      <c r="G37" s="485">
        <v>198148</v>
      </c>
      <c r="H37" s="656">
        <v>22669</v>
      </c>
      <c r="I37" s="656"/>
      <c r="J37" s="483">
        <v>9687</v>
      </c>
      <c r="K37" s="484">
        <v>211130</v>
      </c>
      <c r="L37" s="485">
        <v>522399</v>
      </c>
      <c r="M37" s="639">
        <v>386377</v>
      </c>
      <c r="N37" s="640"/>
      <c r="O37" s="362"/>
      <c r="P37" s="486" t="s">
        <v>645</v>
      </c>
      <c r="Q37" s="487">
        <v>733529</v>
      </c>
      <c r="R37" s="445">
        <v>47001</v>
      </c>
      <c r="S37" s="446">
        <v>14930</v>
      </c>
      <c r="T37" s="447">
        <v>765600</v>
      </c>
      <c r="U37" s="503" t="s">
        <v>646</v>
      </c>
      <c r="V37" s="449">
        <v>26793</v>
      </c>
      <c r="W37" s="446">
        <v>3369</v>
      </c>
      <c r="X37" s="447">
        <v>234554</v>
      </c>
      <c r="Y37" s="447">
        <v>531046</v>
      </c>
      <c r="Z37" s="450">
        <v>522399</v>
      </c>
      <c r="AB37" s="451" t="s">
        <v>110</v>
      </c>
      <c r="AC37" s="454">
        <v>765600</v>
      </c>
      <c r="AD37" s="454">
        <v>124924</v>
      </c>
      <c r="AE37" s="675">
        <v>19909</v>
      </c>
      <c r="AF37" s="676"/>
      <c r="AG37" s="488">
        <v>870615</v>
      </c>
      <c r="AH37" s="712">
        <v>234554</v>
      </c>
      <c r="AI37" s="713"/>
      <c r="AJ37" s="697">
        <v>39753</v>
      </c>
      <c r="AK37" s="698"/>
      <c r="AL37" s="481">
        <v>18481</v>
      </c>
      <c r="AM37" s="488">
        <v>255826</v>
      </c>
      <c r="AN37" s="488">
        <v>614789</v>
      </c>
      <c r="AO37" s="454">
        <v>531046</v>
      </c>
      <c r="AP37" s="187">
        <v>100</v>
      </c>
    </row>
    <row r="38" spans="1:42" x14ac:dyDescent="0.3">
      <c r="A38" s="362"/>
      <c r="B38" s="631"/>
      <c r="C38" s="631"/>
      <c r="D38" s="631"/>
      <c r="E38" s="631"/>
      <c r="F38" s="456"/>
      <c r="G38" s="630"/>
      <c r="H38" s="631"/>
      <c r="I38" s="631"/>
      <c r="J38" s="631"/>
      <c r="K38" s="504">
        <f>+K37-G37</f>
        <v>12982</v>
      </c>
      <c r="L38" s="457"/>
      <c r="M38" s="631"/>
      <c r="N38" s="631"/>
      <c r="O38" s="362"/>
      <c r="P38" s="460"/>
      <c r="Q38" s="460"/>
      <c r="R38" s="460"/>
      <c r="S38" s="460"/>
      <c r="T38" s="459"/>
      <c r="U38" s="460"/>
      <c r="V38" s="460"/>
      <c r="W38" s="460"/>
      <c r="X38" s="646"/>
      <c r="Y38" s="646"/>
      <c r="Z38" s="461"/>
      <c r="AB38" s="388" t="s">
        <v>111</v>
      </c>
      <c r="AC38" s="505">
        <v>733529</v>
      </c>
      <c r="AD38" s="506">
        <v>47001</v>
      </c>
      <c r="AE38" s="714">
        <v>14930</v>
      </c>
      <c r="AF38" s="714"/>
      <c r="AG38" s="507">
        <v>765600</v>
      </c>
      <c r="AH38" s="715">
        <v>211130</v>
      </c>
      <c r="AI38" s="716"/>
      <c r="AJ38" s="717">
        <v>26793</v>
      </c>
      <c r="AK38" s="717"/>
      <c r="AL38" s="506">
        <v>3369</v>
      </c>
      <c r="AM38" s="507">
        <v>234554</v>
      </c>
      <c r="AN38" s="508">
        <v>531046</v>
      </c>
      <c r="AO38" s="509">
        <v>522399</v>
      </c>
    </row>
    <row r="39" spans="1:42" ht="24" customHeight="1" x14ac:dyDescent="0.3">
      <c r="A39" s="362"/>
      <c r="B39" s="510" t="s">
        <v>647</v>
      </c>
      <c r="C39" s="511" t="s">
        <v>648</v>
      </c>
      <c r="D39" s="512">
        <v>74395</v>
      </c>
      <c r="E39" s="512">
        <v>65341</v>
      </c>
      <c r="F39" s="513" t="s">
        <v>649</v>
      </c>
      <c r="G39" s="514" t="s">
        <v>650</v>
      </c>
      <c r="H39" s="652">
        <v>24290</v>
      </c>
      <c r="I39" s="652"/>
      <c r="J39" s="512">
        <v>3541</v>
      </c>
      <c r="K39" s="513" t="s">
        <v>651</v>
      </c>
      <c r="L39" s="515" t="s">
        <v>652</v>
      </c>
      <c r="M39" s="653"/>
      <c r="N39" s="653"/>
      <c r="O39" s="362"/>
      <c r="P39" s="486" t="s">
        <v>653</v>
      </c>
      <c r="Q39" s="487">
        <v>584525</v>
      </c>
      <c r="R39" s="445">
        <v>159861</v>
      </c>
      <c r="S39" s="446">
        <v>10857</v>
      </c>
      <c r="T39" s="447">
        <v>733529</v>
      </c>
      <c r="U39" s="503" t="s">
        <v>654</v>
      </c>
      <c r="V39" s="449">
        <v>22669</v>
      </c>
      <c r="W39" s="446">
        <v>9687</v>
      </c>
      <c r="X39" s="447">
        <v>211130</v>
      </c>
      <c r="Y39" s="447">
        <v>522399</v>
      </c>
      <c r="Z39" s="450">
        <v>386377</v>
      </c>
      <c r="AB39" s="708" t="s">
        <v>655</v>
      </c>
      <c r="AC39" s="708"/>
      <c r="AD39" s="708"/>
      <c r="AE39" s="708"/>
      <c r="AF39" s="708"/>
      <c r="AG39" s="708"/>
      <c r="AH39" s="708"/>
      <c r="AI39" s="708"/>
      <c r="AJ39" s="708"/>
      <c r="AK39" s="708"/>
      <c r="AL39" s="708"/>
      <c r="AM39" s="709"/>
      <c r="AN39" s="516">
        <v>68052</v>
      </c>
      <c r="AO39" s="481">
        <v>71171</v>
      </c>
    </row>
    <row r="40" spans="1:42" x14ac:dyDescent="0.3">
      <c r="A40" s="74"/>
      <c r="B40" s="654" t="s">
        <v>656</v>
      </c>
      <c r="C40" s="654"/>
      <c r="D40" s="654"/>
      <c r="E40" s="654"/>
      <c r="F40" s="489"/>
      <c r="G40" s="641"/>
      <c r="H40" s="642"/>
      <c r="I40" s="642"/>
      <c r="J40" s="642"/>
      <c r="K40" s="489"/>
      <c r="L40" s="517">
        <v>59096</v>
      </c>
      <c r="M40" s="655" t="s">
        <v>657</v>
      </c>
      <c r="N40" s="655"/>
      <c r="O40" s="74"/>
      <c r="P40" s="518" t="s">
        <v>658</v>
      </c>
      <c r="Q40" s="445"/>
      <c r="R40" s="445"/>
      <c r="S40" s="445"/>
      <c r="T40" s="459"/>
      <c r="U40" s="460"/>
      <c r="V40" s="460"/>
      <c r="W40" s="460"/>
      <c r="X40" s="666">
        <v>71171</v>
      </c>
      <c r="Y40" s="666"/>
      <c r="Z40" s="480">
        <v>59096</v>
      </c>
      <c r="AB40" s="710" t="s">
        <v>13</v>
      </c>
      <c r="AC40" s="710"/>
      <c r="AD40" s="710"/>
      <c r="AE40" s="710"/>
      <c r="AF40" s="710"/>
      <c r="AG40" s="710"/>
      <c r="AH40" s="710"/>
      <c r="AI40" s="710"/>
      <c r="AJ40" s="710"/>
      <c r="AK40" s="710"/>
      <c r="AL40" s="710"/>
      <c r="AM40" s="711"/>
      <c r="AN40" s="488">
        <v>104454</v>
      </c>
      <c r="AO40" s="481">
        <v>54782</v>
      </c>
    </row>
    <row r="41" spans="1:42" ht="14.4" customHeight="1" x14ac:dyDescent="0.3">
      <c r="A41" s="74"/>
      <c r="B41" s="605" t="s">
        <v>659</v>
      </c>
      <c r="C41" s="605"/>
      <c r="D41" s="605"/>
      <c r="E41" s="605"/>
      <c r="F41" s="519"/>
      <c r="G41" s="647"/>
      <c r="H41" s="648"/>
      <c r="I41" s="648"/>
      <c r="J41" s="648"/>
      <c r="K41" s="519"/>
      <c r="L41" s="517">
        <v>50010</v>
      </c>
      <c r="M41" s="649">
        <v>29285</v>
      </c>
      <c r="N41" s="649"/>
      <c r="O41" s="74"/>
      <c r="P41" s="518" t="s">
        <v>660</v>
      </c>
      <c r="Q41" s="445"/>
      <c r="R41" s="445"/>
      <c r="S41" s="445"/>
      <c r="T41" s="520"/>
      <c r="U41" s="521"/>
      <c r="V41" s="521"/>
      <c r="W41" s="521"/>
      <c r="X41" s="666">
        <v>54782</v>
      </c>
      <c r="Y41" s="666"/>
      <c r="Z41" s="480">
        <v>50010</v>
      </c>
    </row>
    <row r="42" spans="1:42" ht="21" x14ac:dyDescent="0.4">
      <c r="B42" s="186"/>
      <c r="C42" s="602" t="s">
        <v>384</v>
      </c>
      <c r="D42" s="602"/>
      <c r="E42" s="602"/>
      <c r="F42" s="602"/>
      <c r="G42" s="603" t="s">
        <v>396</v>
      </c>
      <c r="H42" s="603"/>
      <c r="I42" s="603"/>
      <c r="J42" s="603"/>
      <c r="K42" s="604" t="s">
        <v>385</v>
      </c>
      <c r="L42" s="604"/>
      <c r="P42" s="522"/>
      <c r="Q42" s="522"/>
      <c r="R42" s="522"/>
      <c r="S42" s="522"/>
      <c r="T42" s="522"/>
      <c r="U42" s="522"/>
      <c r="V42" s="522"/>
      <c r="W42" s="522"/>
      <c r="X42" s="522"/>
      <c r="Y42" s="523"/>
    </row>
    <row r="43" spans="1:42" ht="25.2" customHeight="1" x14ac:dyDescent="0.3">
      <c r="B43" s="179" t="s">
        <v>379</v>
      </c>
      <c r="C43" t="s">
        <v>381</v>
      </c>
      <c r="D43" t="s">
        <v>382</v>
      </c>
      <c r="E43" t="s">
        <v>383</v>
      </c>
      <c r="F43" t="s">
        <v>376</v>
      </c>
      <c r="G43" t="s">
        <v>392</v>
      </c>
      <c r="H43" t="s">
        <v>393</v>
      </c>
      <c r="I43" t="s">
        <v>394</v>
      </c>
      <c r="J43" t="s">
        <v>395</v>
      </c>
      <c r="K43" t="s">
        <v>386</v>
      </c>
      <c r="L43" t="s">
        <v>387</v>
      </c>
      <c r="P43" s="522" t="s">
        <v>410</v>
      </c>
      <c r="Q43" s="522" t="s">
        <v>397</v>
      </c>
      <c r="R43" s="522" t="s">
        <v>398</v>
      </c>
      <c r="S43" s="522" t="s">
        <v>399</v>
      </c>
      <c r="T43" s="522" t="s">
        <v>400</v>
      </c>
      <c r="U43" s="522" t="s">
        <v>401</v>
      </c>
      <c r="V43" s="522" t="s">
        <v>402</v>
      </c>
      <c r="W43" s="522" t="s">
        <v>403</v>
      </c>
      <c r="X43" s="522" t="s">
        <v>404</v>
      </c>
      <c r="Y43" s="523" t="s">
        <v>405</v>
      </c>
      <c r="Z43" s="120" t="s">
        <v>409</v>
      </c>
      <c r="AB43" s="522" t="s">
        <v>410</v>
      </c>
      <c r="AC43" s="522" t="s">
        <v>397</v>
      </c>
      <c r="AD43" s="522" t="s">
        <v>398</v>
      </c>
      <c r="AE43" s="522" t="s">
        <v>399</v>
      </c>
      <c r="AF43" s="522" t="s">
        <v>400</v>
      </c>
      <c r="AG43" s="522" t="s">
        <v>401</v>
      </c>
      <c r="AH43" s="522" t="s">
        <v>402</v>
      </c>
      <c r="AI43" s="522" t="s">
        <v>403</v>
      </c>
      <c r="AJ43" s="522" t="s">
        <v>404</v>
      </c>
      <c r="AK43" s="523" t="s">
        <v>405</v>
      </c>
      <c r="AL43" s="120" t="s">
        <v>409</v>
      </c>
    </row>
    <row r="44" spans="1:42" ht="28.8" x14ac:dyDescent="0.3">
      <c r="B44" s="524" t="s">
        <v>380</v>
      </c>
      <c r="C44" s="181">
        <f>C21</f>
        <v>419370</v>
      </c>
      <c r="D44" s="181">
        <f>D21</f>
        <v>142087</v>
      </c>
      <c r="E44" s="181">
        <f>E21</f>
        <v>4364</v>
      </c>
      <c r="F44" s="181">
        <f>+C44+D44-E44</f>
        <v>557093</v>
      </c>
      <c r="G44" s="180">
        <f>G21</f>
        <v>133979</v>
      </c>
      <c r="H44" s="180">
        <f>H21</f>
        <v>15000</v>
      </c>
      <c r="I44" s="180">
        <f>J21</f>
        <v>2963</v>
      </c>
      <c r="J44" s="180">
        <f>G44+H44-I44</f>
        <v>146016</v>
      </c>
      <c r="K44" s="180">
        <f>M21</f>
        <v>285391</v>
      </c>
      <c r="L44" s="180">
        <f>L21</f>
        <v>411077</v>
      </c>
      <c r="P44" t="s">
        <v>406</v>
      </c>
      <c r="Q44" s="180">
        <f>Q29</f>
        <v>586027</v>
      </c>
      <c r="R44" s="180">
        <f t="shared" ref="R44:Z44" si="0">R29</f>
        <v>34851</v>
      </c>
      <c r="S44" s="180">
        <f t="shared" si="0"/>
        <v>3238</v>
      </c>
      <c r="T44" s="180">
        <f t="shared" si="0"/>
        <v>617640</v>
      </c>
      <c r="U44" s="180">
        <f t="shared" si="0"/>
        <v>150107</v>
      </c>
      <c r="V44" s="180">
        <f t="shared" si="0"/>
        <v>19113</v>
      </c>
      <c r="W44" s="180">
        <f t="shared" si="0"/>
        <v>2646</v>
      </c>
      <c r="X44" s="180">
        <f t="shared" si="0"/>
        <v>166574</v>
      </c>
      <c r="Y44" s="180">
        <f t="shared" si="0"/>
        <v>451066</v>
      </c>
      <c r="Z44" s="180">
        <f t="shared" si="0"/>
        <v>435920</v>
      </c>
      <c r="AB44" t="s">
        <v>406</v>
      </c>
      <c r="AC44" s="180">
        <f>AC21</f>
        <v>587921</v>
      </c>
      <c r="AD44" s="180">
        <f t="shared" ref="AD44:AE44" si="1">AD21</f>
        <v>71044</v>
      </c>
      <c r="AE44" s="180">
        <f t="shared" si="1"/>
        <v>1645</v>
      </c>
      <c r="AF44" s="180">
        <f>AG21</f>
        <v>657320</v>
      </c>
      <c r="AG44" s="180">
        <f>AH21</f>
        <v>160789</v>
      </c>
      <c r="AH44" s="180">
        <f>AJ21</f>
        <v>27728</v>
      </c>
      <c r="AI44" s="180">
        <f>AL21</f>
        <v>974</v>
      </c>
      <c r="AJ44" s="180">
        <f>AM21</f>
        <v>187543</v>
      </c>
      <c r="AK44" s="180">
        <f>AN21</f>
        <v>469777</v>
      </c>
      <c r="AL44" s="180">
        <f>AO21</f>
        <v>427132</v>
      </c>
    </row>
    <row r="45" spans="1:42" ht="15.6" x14ac:dyDescent="0.3">
      <c r="B45" s="179" t="s">
        <v>388</v>
      </c>
      <c r="K45" s="183">
        <f>+C44-G44</f>
        <v>285391</v>
      </c>
      <c r="L45" s="183">
        <f>+F44-J44</f>
        <v>411077</v>
      </c>
      <c r="Q45" s="180"/>
      <c r="Y45" s="180">
        <f>+T44-X44</f>
        <v>451066</v>
      </c>
      <c r="AC45" s="180"/>
      <c r="AK45" s="180">
        <f>+AF44-AJ44</f>
        <v>469777</v>
      </c>
    </row>
    <row r="46" spans="1:42" ht="15.6" x14ac:dyDescent="0.3">
      <c r="B46" s="179" t="s">
        <v>389</v>
      </c>
      <c r="K46" s="184">
        <f>G44/C44</f>
        <v>0.31947683429906765</v>
      </c>
      <c r="L46" s="184">
        <f>J44/F44</f>
        <v>0.26210345489891274</v>
      </c>
      <c r="Y46" s="182">
        <f>X44/T44</f>
        <v>0.26969432031604168</v>
      </c>
      <c r="Z46" s="182">
        <f>U44/Q44</f>
        <v>0.25614348826931183</v>
      </c>
      <c r="AK46" s="182">
        <f>AJ44/AF44</f>
        <v>0.28531461084403337</v>
      </c>
      <c r="AL46" s="182">
        <f>AG44/AC44</f>
        <v>0.27348742433081996</v>
      </c>
    </row>
    <row r="47" spans="1:42" x14ac:dyDescent="0.3">
      <c r="B47" s="185" t="s">
        <v>390</v>
      </c>
      <c r="C47" s="180">
        <f>+C28</f>
        <v>19011</v>
      </c>
      <c r="D47" s="180">
        <f>+D28</f>
        <v>9938</v>
      </c>
      <c r="E47" s="180">
        <f t="shared" ref="E47:H47" si="2">+E28</f>
        <v>15</v>
      </c>
      <c r="F47" s="180">
        <f t="shared" si="2"/>
        <v>28934</v>
      </c>
      <c r="G47" s="180">
        <f t="shared" si="2"/>
        <v>2287</v>
      </c>
      <c r="H47" s="180">
        <f t="shared" si="2"/>
        <v>1813</v>
      </c>
      <c r="I47" s="180">
        <v>9</v>
      </c>
      <c r="J47" s="180">
        <f>+G47+H47-I47</f>
        <v>4091</v>
      </c>
      <c r="K47" s="180">
        <f>+M28</f>
        <v>16724</v>
      </c>
      <c r="L47" s="180">
        <f>+L28</f>
        <v>24843</v>
      </c>
      <c r="P47" t="s">
        <v>407</v>
      </c>
      <c r="Q47" s="180">
        <f>Q28</f>
        <v>28934</v>
      </c>
      <c r="R47" s="180">
        <f t="shared" ref="R47:Z47" si="3">R28</f>
        <v>1243</v>
      </c>
      <c r="S47" s="180">
        <f t="shared" si="3"/>
        <v>230</v>
      </c>
      <c r="T47" s="180">
        <f t="shared" si="3"/>
        <v>29947</v>
      </c>
      <c r="U47" s="180">
        <f t="shared" si="3"/>
        <v>4091</v>
      </c>
      <c r="V47" s="180">
        <f t="shared" si="3"/>
        <v>1964</v>
      </c>
      <c r="W47" s="180">
        <f t="shared" si="3"/>
        <v>136</v>
      </c>
      <c r="X47" s="180">
        <f t="shared" si="3"/>
        <v>5919</v>
      </c>
      <c r="Y47" s="180">
        <f t="shared" si="3"/>
        <v>24028</v>
      </c>
      <c r="Z47" s="180">
        <f t="shared" si="3"/>
        <v>24843</v>
      </c>
      <c r="AB47" t="s">
        <v>407</v>
      </c>
      <c r="AC47" s="180">
        <f>AC28</f>
        <v>29719</v>
      </c>
      <c r="AD47" s="180">
        <f t="shared" ref="AD47:AE47" si="4">AD28</f>
        <v>10007</v>
      </c>
      <c r="AE47" s="180">
        <f t="shared" si="4"/>
        <v>109</v>
      </c>
      <c r="AF47" s="180">
        <f>AG28</f>
        <v>39617</v>
      </c>
      <c r="AG47" s="180">
        <f>AH28</f>
        <v>5785</v>
      </c>
      <c r="AH47" s="180">
        <f>AJ28</f>
        <v>3214</v>
      </c>
      <c r="AI47" s="180">
        <f>AL28</f>
        <v>59</v>
      </c>
      <c r="AJ47" s="180">
        <f>AM28</f>
        <v>8940</v>
      </c>
      <c r="AK47" s="180">
        <f>AN28</f>
        <v>30677</v>
      </c>
      <c r="AL47" s="180">
        <f>AO28</f>
        <v>23934</v>
      </c>
    </row>
    <row r="49" spans="2:42" ht="15.6" x14ac:dyDescent="0.3">
      <c r="K49" s="184">
        <f>G47/C47</f>
        <v>0.12029877439377203</v>
      </c>
      <c r="L49" s="184">
        <f>J47/F47</f>
        <v>0.14139075136517593</v>
      </c>
      <c r="Y49" s="182">
        <f>X47/T47</f>
        <v>0.19764918021838582</v>
      </c>
      <c r="Z49" s="182">
        <f>U47/Q47</f>
        <v>0.14139075136517593</v>
      </c>
      <c r="AK49" s="182">
        <f>AJ47/AF47</f>
        <v>0.22566070121412524</v>
      </c>
      <c r="AL49" s="182">
        <f>AG47/AC47</f>
        <v>0.19465661697903697</v>
      </c>
    </row>
    <row r="50" spans="2:42" ht="28.8" x14ac:dyDescent="0.3">
      <c r="P50" s="525" t="s">
        <v>408</v>
      </c>
      <c r="Q50" s="180">
        <f>Q36</f>
        <v>147502</v>
      </c>
      <c r="R50" s="180">
        <f t="shared" ref="R50:Z50" si="5">R36</f>
        <v>12150</v>
      </c>
      <c r="S50" s="180">
        <f t="shared" si="5"/>
        <v>11692</v>
      </c>
      <c r="T50" s="180">
        <f t="shared" si="5"/>
        <v>147960</v>
      </c>
      <c r="U50" s="180">
        <f t="shared" si="5"/>
        <v>61023</v>
      </c>
      <c r="V50" s="180">
        <f t="shared" si="5"/>
        <v>7680</v>
      </c>
      <c r="W50" s="180">
        <f t="shared" si="5"/>
        <v>723</v>
      </c>
      <c r="X50" s="180">
        <f t="shared" si="5"/>
        <v>67980</v>
      </c>
      <c r="Y50" s="180">
        <f t="shared" si="5"/>
        <v>79980</v>
      </c>
      <c r="Z50" s="180">
        <f t="shared" si="5"/>
        <v>86479</v>
      </c>
      <c r="AB50" s="525" t="s">
        <v>408</v>
      </c>
      <c r="AC50" s="180">
        <f>AC36</f>
        <v>147960</v>
      </c>
      <c r="AD50" s="180">
        <f t="shared" ref="AD50:AE50" si="6">AD36</f>
        <v>43873</v>
      </c>
      <c r="AE50" s="180">
        <f t="shared" si="6"/>
        <v>18155</v>
      </c>
      <c r="AF50" s="180">
        <f>AG36</f>
        <v>173678</v>
      </c>
      <c r="AG50" s="180">
        <f>AH36</f>
        <v>67980</v>
      </c>
      <c r="AH50" s="180">
        <f>AJ36</f>
        <v>8811</v>
      </c>
      <c r="AI50" s="180">
        <f>AL36</f>
        <v>17448</v>
      </c>
      <c r="AJ50" s="180">
        <f>AM36</f>
        <v>59343</v>
      </c>
      <c r="AK50" s="180">
        <f>AN36</f>
        <v>114335</v>
      </c>
      <c r="AL50" s="180">
        <f>AO36</f>
        <v>79980</v>
      </c>
    </row>
    <row r="51" spans="2:42" x14ac:dyDescent="0.3">
      <c r="B51" t="s">
        <v>391</v>
      </c>
      <c r="C51" s="180">
        <f>C36</f>
        <v>146144</v>
      </c>
      <c r="D51" s="180">
        <f>D36</f>
        <v>7836</v>
      </c>
      <c r="E51" s="180">
        <f>E36</f>
        <v>6478</v>
      </c>
      <c r="F51" s="180">
        <f>F36</f>
        <v>147502</v>
      </c>
      <c r="G51" s="180">
        <f t="shared" ref="G51:H51" si="7">G36</f>
        <v>61882</v>
      </c>
      <c r="H51" s="180">
        <f t="shared" si="7"/>
        <v>5856</v>
      </c>
      <c r="I51" s="180">
        <f>J36</f>
        <v>6715</v>
      </c>
      <c r="J51" s="180">
        <f>K36</f>
        <v>61023</v>
      </c>
      <c r="K51" s="180">
        <f>M36</f>
        <v>84262</v>
      </c>
      <c r="L51" s="180">
        <f>L36</f>
        <v>86479</v>
      </c>
    </row>
    <row r="52" spans="2:42" x14ac:dyDescent="0.3">
      <c r="Y52" s="182">
        <f>X50/T50</f>
        <v>0.45944849959448497</v>
      </c>
      <c r="Z52" s="182">
        <f>U50/Q50</f>
        <v>0.41370964461498827</v>
      </c>
      <c r="AK52" s="182">
        <f>AJ50/AF50</f>
        <v>0.34168403597461972</v>
      </c>
      <c r="AL52" s="182">
        <f>AG50/AC50</f>
        <v>0.45944849959448497</v>
      </c>
    </row>
    <row r="53" spans="2:42" ht="15.6" x14ac:dyDescent="0.3">
      <c r="K53" s="184">
        <f>G51/C51</f>
        <v>0.42343168381869939</v>
      </c>
      <c r="L53" s="184">
        <f>J51/F51</f>
        <v>0.41370964461498827</v>
      </c>
    </row>
    <row r="55" spans="2:42" x14ac:dyDescent="0.3">
      <c r="B55" t="s">
        <v>412</v>
      </c>
      <c r="C55" t="s">
        <v>414</v>
      </c>
      <c r="D55" t="s">
        <v>415</v>
      </c>
      <c r="Q55" s="180">
        <f>C37</f>
        <v>584525</v>
      </c>
      <c r="R55" s="180">
        <f>Q37</f>
        <v>733529</v>
      </c>
      <c r="S55" s="180">
        <f>AC37</f>
        <v>765600</v>
      </c>
      <c r="T55" s="180">
        <f>AN37</f>
        <v>614789</v>
      </c>
      <c r="AM55" s="187"/>
      <c r="AP55"/>
    </row>
    <row r="56" spans="2:42" ht="31.8" customHeight="1" x14ac:dyDescent="0.3">
      <c r="B56" t="s">
        <v>413</v>
      </c>
      <c r="C56" s="189">
        <v>0.8</v>
      </c>
      <c r="D56" s="189">
        <v>0.28000000000000003</v>
      </c>
      <c r="O56" t="str">
        <f>profitloss!A17</f>
        <v>Depreciation/Amortisation and Depletion Expense</v>
      </c>
      <c r="Q56">
        <f>profitloss!C17</f>
        <v>20934</v>
      </c>
      <c r="R56">
        <f>profitloss!D17</f>
        <v>22203</v>
      </c>
      <c r="S56">
        <f>profitloss!E17</f>
        <v>26572</v>
      </c>
      <c r="T56">
        <f>profitloss!F17</f>
        <v>29797</v>
      </c>
      <c r="AM56" s="187"/>
      <c r="AP56"/>
    </row>
    <row r="57" spans="2:42" x14ac:dyDescent="0.3">
      <c r="B57" t="s">
        <v>417</v>
      </c>
      <c r="C57" s="189">
        <v>0.05</v>
      </c>
      <c r="D57" s="189">
        <v>0.15</v>
      </c>
      <c r="AI57">
        <f>255-234</f>
        <v>21</v>
      </c>
      <c r="AM57" s="187"/>
      <c r="AP57"/>
    </row>
    <row r="58" spans="2:42" x14ac:dyDescent="0.3">
      <c r="B58" t="s">
        <v>416</v>
      </c>
      <c r="C58" s="189">
        <v>0.15</v>
      </c>
      <c r="D58" s="189">
        <v>0.43</v>
      </c>
      <c r="O58" t="s">
        <v>500</v>
      </c>
      <c r="Q58" s="182">
        <f>Q56/Q55</f>
        <v>3.5813694880458491E-2</v>
      </c>
      <c r="R58" s="182">
        <f t="shared" ref="R58:T58" si="8">R56/R55</f>
        <v>3.0268741931130196E-2</v>
      </c>
      <c r="S58" s="182">
        <f t="shared" si="8"/>
        <v>3.4707419017763842E-2</v>
      </c>
      <c r="T58" s="182">
        <f t="shared" si="8"/>
        <v>4.8467035031531144E-2</v>
      </c>
      <c r="AM58" s="187"/>
      <c r="AP58"/>
    </row>
    <row r="59" spans="2:42" x14ac:dyDescent="0.3">
      <c r="B59" s="179" t="s">
        <v>484</v>
      </c>
      <c r="C59" s="189"/>
      <c r="D59" s="189"/>
    </row>
    <row r="60" spans="2:42" x14ac:dyDescent="0.3">
      <c r="B60" t="s">
        <v>313</v>
      </c>
      <c r="C60" t="s">
        <v>479</v>
      </c>
      <c r="D60" t="s">
        <v>480</v>
      </c>
      <c r="E60" t="s">
        <v>481</v>
      </c>
      <c r="F60" t="s">
        <v>482</v>
      </c>
      <c r="G60" t="s">
        <v>449</v>
      </c>
      <c r="H60" s="199" t="s">
        <v>439</v>
      </c>
      <c r="I60" s="199" t="s">
        <v>440</v>
      </c>
      <c r="J60" s="199" t="s">
        <v>441</v>
      </c>
      <c r="K60" s="199" t="s">
        <v>442</v>
      </c>
      <c r="L60" s="223" t="s">
        <v>443</v>
      </c>
    </row>
    <row r="61" spans="2:42" x14ac:dyDescent="0.3">
      <c r="B61" t="s">
        <v>475</v>
      </c>
      <c r="C61" s="180">
        <f>C37</f>
        <v>584525</v>
      </c>
      <c r="D61" s="180">
        <f>F37</f>
        <v>733529</v>
      </c>
      <c r="E61" s="180">
        <f>T37</f>
        <v>765600</v>
      </c>
      <c r="F61" s="180">
        <f>AG37</f>
        <v>870615</v>
      </c>
      <c r="H61">
        <f>H63/H65</f>
        <v>877831.29473684216</v>
      </c>
      <c r="I61">
        <f t="shared" ref="I61:L61" si="9">I63/I65</f>
        <v>909874.038952381</v>
      </c>
      <c r="J61">
        <f t="shared" si="9"/>
        <v>954684.98001913063</v>
      </c>
      <c r="K61">
        <f t="shared" si="9"/>
        <v>1012571.5605785003</v>
      </c>
      <c r="L61">
        <f t="shared" si="9"/>
        <v>1084430.0726820773</v>
      </c>
    </row>
    <row r="62" spans="2:42" x14ac:dyDescent="0.3">
      <c r="B62" t="s">
        <v>476</v>
      </c>
      <c r="H62" s="180"/>
      <c r="I62" s="243"/>
      <c r="J62" s="243"/>
      <c r="L62" s="243"/>
    </row>
    <row r="63" spans="2:42" x14ac:dyDescent="0.3">
      <c r="B63" t="s">
        <v>477</v>
      </c>
      <c r="C63" s="180">
        <f>revenue!B17</f>
        <v>583094</v>
      </c>
      <c r="D63" s="180">
        <f>revenue!C17</f>
        <v>612437</v>
      </c>
      <c r="E63" s="180">
        <f>revenue!D17</f>
        <v>486236</v>
      </c>
      <c r="F63" s="180">
        <f>revenue!E17</f>
        <v>721634</v>
      </c>
      <c r="H63">
        <f>Table18[[#Totals],[2022-23E]]</f>
        <v>833939.73</v>
      </c>
      <c r="I63">
        <f>Table18[[#Totals],[2023-24E]]</f>
        <v>955367.74090000009</v>
      </c>
      <c r="J63">
        <f>Table18[[#Totals],[2024-25E]]</f>
        <v>1097887.7270220001</v>
      </c>
      <c r="K63">
        <f>Table18[[#Totals],[2025-26E]]</f>
        <v>1265714.4507231254</v>
      </c>
      <c r="L63">
        <f>Table18[[#Totals],[2026-27E]]</f>
        <v>1463980.5981208044</v>
      </c>
    </row>
    <row r="65" spans="2:12" x14ac:dyDescent="0.3">
      <c r="B65" t="s">
        <v>478</v>
      </c>
      <c r="C65">
        <f>C63/C61</f>
        <v>0.99755185834652071</v>
      </c>
      <c r="D65">
        <f t="shared" ref="D65:F65" si="10">D63/D61</f>
        <v>0.83491859217563313</v>
      </c>
      <c r="E65">
        <f t="shared" si="10"/>
        <v>0.63510449320794149</v>
      </c>
      <c r="F65">
        <f t="shared" si="10"/>
        <v>0.82887843650752624</v>
      </c>
      <c r="H65">
        <v>0.95</v>
      </c>
      <c r="I65">
        <v>1.05</v>
      </c>
      <c r="J65">
        <v>1.1499999999999999</v>
      </c>
      <c r="K65">
        <v>1.25</v>
      </c>
      <c r="L65">
        <v>1.35</v>
      </c>
    </row>
    <row r="68" spans="2:12" x14ac:dyDescent="0.3">
      <c r="B68" s="335" t="s">
        <v>413</v>
      </c>
      <c r="H68">
        <f>H61*$C$56</f>
        <v>702265.0357894738</v>
      </c>
      <c r="I68">
        <f t="shared" ref="I68:L68" si="11">I61*$C$56</f>
        <v>727899.23116190487</v>
      </c>
      <c r="J68">
        <f t="shared" si="11"/>
        <v>763747.9840153046</v>
      </c>
      <c r="K68">
        <f t="shared" si="11"/>
        <v>810057.24846280029</v>
      </c>
      <c r="L68">
        <f t="shared" si="11"/>
        <v>867544.05814566184</v>
      </c>
    </row>
    <row r="69" spans="2:12" x14ac:dyDescent="0.3">
      <c r="B69" s="334" t="s">
        <v>417</v>
      </c>
      <c r="H69" s="243">
        <f>H61*$C$57</f>
        <v>43891.564736842112</v>
      </c>
      <c r="I69" s="243">
        <f t="shared" ref="I69:L69" si="12">I61*$C$57</f>
        <v>45493.701947619054</v>
      </c>
      <c r="J69" s="243">
        <f t="shared" si="12"/>
        <v>47734.249000956537</v>
      </c>
      <c r="K69" s="243">
        <f t="shared" si="12"/>
        <v>50628.578028925018</v>
      </c>
      <c r="L69" s="243">
        <f t="shared" si="12"/>
        <v>54221.503634103865</v>
      </c>
    </row>
    <row r="70" spans="2:12" x14ac:dyDescent="0.3">
      <c r="B70" s="335" t="s">
        <v>416</v>
      </c>
      <c r="H70" s="243">
        <f>H61*$C$58</f>
        <v>131674.69421052633</v>
      </c>
      <c r="I70" s="243">
        <f t="shared" ref="I70:L70" si="13">I61*$C$58</f>
        <v>136481.10584285716</v>
      </c>
      <c r="J70" s="243">
        <f t="shared" si="13"/>
        <v>143202.74700286958</v>
      </c>
      <c r="K70" s="243">
        <f t="shared" si="13"/>
        <v>151885.73408677505</v>
      </c>
      <c r="L70" s="243">
        <f t="shared" si="13"/>
        <v>162664.51090231159</v>
      </c>
    </row>
    <row r="72" spans="2:12" x14ac:dyDescent="0.3">
      <c r="B72" s="526" t="s">
        <v>483</v>
      </c>
      <c r="C72" t="s">
        <v>313</v>
      </c>
      <c r="D72" t="s">
        <v>449</v>
      </c>
      <c r="E72" t="s">
        <v>450</v>
      </c>
      <c r="F72" t="s">
        <v>364</v>
      </c>
      <c r="G72" t="s">
        <v>451</v>
      </c>
      <c r="H72" t="s">
        <v>439</v>
      </c>
      <c r="I72" t="s">
        <v>440</v>
      </c>
      <c r="J72" t="s">
        <v>441</v>
      </c>
      <c r="K72" t="s">
        <v>442</v>
      </c>
      <c r="L72" t="s">
        <v>443</v>
      </c>
    </row>
    <row r="73" spans="2:12" x14ac:dyDescent="0.3">
      <c r="B73" s="335" t="s">
        <v>413</v>
      </c>
      <c r="H73" s="244">
        <f>H68*$D$56</f>
        <v>196634.21002105268</v>
      </c>
      <c r="I73" s="244">
        <f t="shared" ref="I73:L73" si="14">I68*$D$56</f>
        <v>203811.78472533339</v>
      </c>
      <c r="J73" s="244">
        <f t="shared" si="14"/>
        <v>213849.43552428531</v>
      </c>
      <c r="K73" s="244">
        <f t="shared" si="14"/>
        <v>226816.02956958409</v>
      </c>
      <c r="L73" s="244">
        <f t="shared" si="14"/>
        <v>242912.33628078533</v>
      </c>
    </row>
    <row r="74" spans="2:12" x14ac:dyDescent="0.3">
      <c r="B74" s="334" t="s">
        <v>417</v>
      </c>
      <c r="H74" s="244">
        <f>H69*$D$57</f>
        <v>6583.734710526317</v>
      </c>
      <c r="I74" s="244">
        <f t="shared" ref="I74:L74" si="15">I69*$D$57</f>
        <v>6824.055292142858</v>
      </c>
      <c r="J74" s="244">
        <f t="shared" si="15"/>
        <v>7160.13735014348</v>
      </c>
      <c r="K74" s="244">
        <f t="shared" si="15"/>
        <v>7594.2867043387523</v>
      </c>
      <c r="L74" s="244">
        <f t="shared" si="15"/>
        <v>8133.2255451155797</v>
      </c>
    </row>
    <row r="75" spans="2:12" x14ac:dyDescent="0.3">
      <c r="B75" s="335" t="s">
        <v>416</v>
      </c>
      <c r="H75" s="243">
        <f>H70*$D$58</f>
        <v>56620.118510526321</v>
      </c>
      <c r="I75" s="243">
        <f t="shared" ref="I75:L75" si="16">I70*$D$58</f>
        <v>58686.875512428574</v>
      </c>
      <c r="J75" s="243">
        <f t="shared" si="16"/>
        <v>61577.181211233918</v>
      </c>
      <c r="K75" s="243">
        <f t="shared" si="16"/>
        <v>65310.865657313268</v>
      </c>
      <c r="L75" s="243">
        <f t="shared" si="16"/>
        <v>69945.739687993992</v>
      </c>
    </row>
    <row r="76" spans="2:12" x14ac:dyDescent="0.3">
      <c r="B76" t="s">
        <v>95</v>
      </c>
      <c r="H76" s="244">
        <f>SUBTOTAL(109,Table22[2022-23E])</f>
        <v>259838.0632421053</v>
      </c>
      <c r="I76" s="244">
        <f>SUBTOTAL(109,Table22[2023-24E])</f>
        <v>269322.71552990482</v>
      </c>
      <c r="J76" s="244">
        <f>SUBTOTAL(109,Table22[2024-25E])</f>
        <v>282586.75408566272</v>
      </c>
      <c r="K76" s="244">
        <f>SUBTOTAL(109,Table22[2025-26E])</f>
        <v>299721.18193123612</v>
      </c>
      <c r="L76" s="244">
        <f>SUBTOTAL(109,Table22[2026-27E])</f>
        <v>320991.30151389493</v>
      </c>
    </row>
    <row r="78" spans="2:12" x14ac:dyDescent="0.3">
      <c r="B78" s="259" t="s">
        <v>385</v>
      </c>
      <c r="C78" t="s">
        <v>313</v>
      </c>
      <c r="D78" t="s">
        <v>449</v>
      </c>
      <c r="E78" t="s">
        <v>450</v>
      </c>
      <c r="F78" t="s">
        <v>364</v>
      </c>
      <c r="G78" t="s">
        <v>451</v>
      </c>
      <c r="H78" t="s">
        <v>439</v>
      </c>
      <c r="I78" t="s">
        <v>553</v>
      </c>
      <c r="J78" t="s">
        <v>554</v>
      </c>
      <c r="K78" t="s">
        <v>555</v>
      </c>
      <c r="L78" t="s">
        <v>556</v>
      </c>
    </row>
    <row r="79" spans="2:12" x14ac:dyDescent="0.3">
      <c r="B79" s="257" t="s">
        <v>413</v>
      </c>
      <c r="H79" s="244">
        <f>H68-H73</f>
        <v>505630.82576842111</v>
      </c>
      <c r="I79" s="244">
        <f>+I68-I73</f>
        <v>524087.44643657148</v>
      </c>
      <c r="J79" s="244">
        <f t="shared" ref="J79:L79" si="17">+J68-J73</f>
        <v>549898.54849101929</v>
      </c>
      <c r="K79" s="244">
        <f t="shared" si="17"/>
        <v>583241.21889321622</v>
      </c>
      <c r="L79" s="244">
        <f t="shared" si="17"/>
        <v>624631.72186487657</v>
      </c>
    </row>
    <row r="80" spans="2:12" x14ac:dyDescent="0.3">
      <c r="B80" s="258" t="s">
        <v>417</v>
      </c>
      <c r="H80" s="244">
        <f t="shared" ref="H80:H81" si="18">+H69-H74</f>
        <v>37307.830026315794</v>
      </c>
      <c r="I80" s="244">
        <f t="shared" ref="I80:L80" si="19">+I69-I74</f>
        <v>38669.646655476194</v>
      </c>
      <c r="J80" s="244">
        <f t="shared" si="19"/>
        <v>40574.111650813058</v>
      </c>
      <c r="K80" s="244">
        <f t="shared" si="19"/>
        <v>43034.291324586266</v>
      </c>
      <c r="L80" s="244">
        <f t="shared" si="19"/>
        <v>46088.278088988285</v>
      </c>
    </row>
    <row r="81" spans="2:12" x14ac:dyDescent="0.3">
      <c r="B81" s="257" t="s">
        <v>416</v>
      </c>
      <c r="H81" s="244">
        <f t="shared" si="18"/>
        <v>75054.575700000016</v>
      </c>
      <c r="I81" s="244">
        <f t="shared" ref="I81:L81" si="20">+I70-I75</f>
        <v>77794.230330428574</v>
      </c>
      <c r="J81" s="244">
        <f t="shared" si="20"/>
        <v>81625.565791635658</v>
      </c>
      <c r="K81" s="244">
        <f t="shared" si="20"/>
        <v>86574.868429461785</v>
      </c>
      <c r="L81" s="244">
        <f t="shared" si="20"/>
        <v>92718.771214317603</v>
      </c>
    </row>
    <row r="82" spans="2:12" x14ac:dyDescent="0.3">
      <c r="B82" t="s">
        <v>495</v>
      </c>
      <c r="G82">
        <v>614789</v>
      </c>
      <c r="H82" s="244">
        <f>SUM(H79:H81)</f>
        <v>617993.23149473697</v>
      </c>
      <c r="I82" s="244">
        <f t="shared" ref="I82:L82" si="21">SUM(I79:I81)</f>
        <v>640551.3234224763</v>
      </c>
      <c r="J82" s="244">
        <f t="shared" si="21"/>
        <v>672098.22593346797</v>
      </c>
      <c r="K82" s="244">
        <f t="shared" si="21"/>
        <v>712850.37864726433</v>
      </c>
      <c r="L82" s="244">
        <f t="shared" si="21"/>
        <v>763438.77116818249</v>
      </c>
    </row>
    <row r="84" spans="2:12" x14ac:dyDescent="0.3">
      <c r="B84" t="s">
        <v>381</v>
      </c>
      <c r="H84" s="243">
        <v>614789</v>
      </c>
      <c r="I84" s="243">
        <f>H87</f>
        <v>617993.23149473697</v>
      </c>
      <c r="J84" s="243">
        <f>I87</f>
        <v>640551.3234224763</v>
      </c>
      <c r="K84" s="243">
        <f>J87</f>
        <v>672098.22593346797</v>
      </c>
      <c r="L84" s="243">
        <f>K87</f>
        <v>712850.37864726433</v>
      </c>
    </row>
    <row r="85" spans="2:12" x14ac:dyDescent="0.3">
      <c r="B85" t="s">
        <v>483</v>
      </c>
      <c r="H85" s="243">
        <f>+H61*4%</f>
        <v>35113.251789473688</v>
      </c>
      <c r="I85" s="243">
        <f t="shared" ref="I85:L85" si="22">+I61*4%</f>
        <v>36394.961558095238</v>
      </c>
      <c r="J85" s="243">
        <f t="shared" si="22"/>
        <v>38187.399200765227</v>
      </c>
      <c r="K85" s="243">
        <f t="shared" si="22"/>
        <v>40502.86242314001</v>
      </c>
      <c r="L85" s="243">
        <f t="shared" si="22"/>
        <v>43377.202907283092</v>
      </c>
    </row>
    <row r="86" spans="2:12" x14ac:dyDescent="0.3">
      <c r="B86" t="s">
        <v>501</v>
      </c>
      <c r="H86" s="243">
        <f>H87-(H84-H85)</f>
        <v>38317.48328421067</v>
      </c>
      <c r="I86" s="243">
        <f t="shared" ref="I86:L86" si="23">I87-(I84-I85)</f>
        <v>58953.053485834622</v>
      </c>
      <c r="J86" s="243">
        <f t="shared" si="23"/>
        <v>69734.301711756852</v>
      </c>
      <c r="K86" s="243">
        <f t="shared" si="23"/>
        <v>81255.01513693633</v>
      </c>
      <c r="L86" s="243">
        <f t="shared" si="23"/>
        <v>93965.595428201254</v>
      </c>
    </row>
    <row r="87" spans="2:12" x14ac:dyDescent="0.3">
      <c r="B87" t="s">
        <v>376</v>
      </c>
      <c r="H87" s="244">
        <f>+H82</f>
        <v>617993.23149473697</v>
      </c>
      <c r="I87" s="244">
        <f t="shared" ref="I87:L87" si="24">+I82</f>
        <v>640551.3234224763</v>
      </c>
      <c r="J87" s="244">
        <f t="shared" si="24"/>
        <v>672098.22593346797</v>
      </c>
      <c r="K87" s="244">
        <f t="shared" si="24"/>
        <v>712850.37864726433</v>
      </c>
      <c r="L87" s="244">
        <f t="shared" si="24"/>
        <v>763438.77116818249</v>
      </c>
    </row>
  </sheetData>
  <mergeCells count="184">
    <mergeCell ref="AB39:AM39"/>
    <mergeCell ref="AB40:AM40"/>
    <mergeCell ref="AE37:AF37"/>
    <mergeCell ref="AH37:AI37"/>
    <mergeCell ref="AJ37:AK37"/>
    <mergeCell ref="AE38:AF38"/>
    <mergeCell ref="AH38:AI38"/>
    <mergeCell ref="AJ38:AK38"/>
    <mergeCell ref="AE35:AF35"/>
    <mergeCell ref="AH35:AI35"/>
    <mergeCell ref="AJ35:AK35"/>
    <mergeCell ref="AE36:AF36"/>
    <mergeCell ref="AH36:AI36"/>
    <mergeCell ref="AJ36:AK36"/>
    <mergeCell ref="AE33:AF33"/>
    <mergeCell ref="AH33:AI33"/>
    <mergeCell ref="AJ33:AK33"/>
    <mergeCell ref="AE34:AF34"/>
    <mergeCell ref="AH34:AI34"/>
    <mergeCell ref="AJ34:AK34"/>
    <mergeCell ref="AH31:AI31"/>
    <mergeCell ref="AJ31:AK31"/>
    <mergeCell ref="AE32:AF32"/>
    <mergeCell ref="AH32:AI32"/>
    <mergeCell ref="AJ32:AK32"/>
    <mergeCell ref="AH29:AI29"/>
    <mergeCell ref="AJ29:AK29"/>
    <mergeCell ref="AB30:AF30"/>
    <mergeCell ref="AH30:AL30"/>
    <mergeCell ref="AM30:AN30"/>
    <mergeCell ref="AH27:AI27"/>
    <mergeCell ref="AJ27:AK27"/>
    <mergeCell ref="AE28:AF28"/>
    <mergeCell ref="AH28:AI28"/>
    <mergeCell ref="AJ28:AK28"/>
    <mergeCell ref="AH25:AI25"/>
    <mergeCell ref="AJ25:AK25"/>
    <mergeCell ref="AE26:AF26"/>
    <mergeCell ref="AH26:AI26"/>
    <mergeCell ref="AJ26:AK26"/>
    <mergeCell ref="AH23:AI23"/>
    <mergeCell ref="AJ23:AK23"/>
    <mergeCell ref="AE24:AF24"/>
    <mergeCell ref="AH24:AI24"/>
    <mergeCell ref="AJ24:AK24"/>
    <mergeCell ref="AH21:AI21"/>
    <mergeCell ref="AJ21:AK21"/>
    <mergeCell ref="AB22:AF22"/>
    <mergeCell ref="AH22:AL22"/>
    <mergeCell ref="AM22:AN22"/>
    <mergeCell ref="AH19:AI19"/>
    <mergeCell ref="AJ19:AK19"/>
    <mergeCell ref="AE20:AF20"/>
    <mergeCell ref="AH20:AI20"/>
    <mergeCell ref="AJ20:AK20"/>
    <mergeCell ref="AH17:AI17"/>
    <mergeCell ref="AJ17:AK17"/>
    <mergeCell ref="AE18:AF18"/>
    <mergeCell ref="AH18:AI18"/>
    <mergeCell ref="AJ18:AK18"/>
    <mergeCell ref="AH15:AI15"/>
    <mergeCell ref="AJ15:AK15"/>
    <mergeCell ref="AE16:AF16"/>
    <mergeCell ref="AH16:AI16"/>
    <mergeCell ref="AJ16:AK16"/>
    <mergeCell ref="AH13:AI13"/>
    <mergeCell ref="AJ13:AK13"/>
    <mergeCell ref="AE14:AF14"/>
    <mergeCell ref="AH14:AI14"/>
    <mergeCell ref="AJ14:AK14"/>
    <mergeCell ref="AH11:AL11"/>
    <mergeCell ref="AM11:AN11"/>
    <mergeCell ref="AE12:AF12"/>
    <mergeCell ref="AH12:AI12"/>
    <mergeCell ref="AJ12:AK12"/>
    <mergeCell ref="AC8:AO8"/>
    <mergeCell ref="AE9:AF9"/>
    <mergeCell ref="AH9:AI9"/>
    <mergeCell ref="AJ9:AK9"/>
    <mergeCell ref="AB10:AF10"/>
    <mergeCell ref="AH10:AL10"/>
    <mergeCell ref="AM10:AN10"/>
    <mergeCell ref="X41:Y41"/>
    <mergeCell ref="Y8:Z8"/>
    <mergeCell ref="AB8:AB9"/>
    <mergeCell ref="AB11:AF11"/>
    <mergeCell ref="AE13:AF13"/>
    <mergeCell ref="AE15:AF15"/>
    <mergeCell ref="AE17:AF17"/>
    <mergeCell ref="AE19:AF19"/>
    <mergeCell ref="AE21:AF21"/>
    <mergeCell ref="AE23:AF23"/>
    <mergeCell ref="AE25:AF25"/>
    <mergeCell ref="AE27:AF27"/>
    <mergeCell ref="AE29:AF29"/>
    <mergeCell ref="AE31:AF31"/>
    <mergeCell ref="X38:Y38"/>
    <mergeCell ref="X40:Y40"/>
    <mergeCell ref="X30:Y30"/>
    <mergeCell ref="X22:Y22"/>
    <mergeCell ref="G41:J41"/>
    <mergeCell ref="M41:N41"/>
    <mergeCell ref="Q8:T8"/>
    <mergeCell ref="X11:Y11"/>
    <mergeCell ref="H39:I39"/>
    <mergeCell ref="M39:N39"/>
    <mergeCell ref="B40:E40"/>
    <mergeCell ref="G40:J40"/>
    <mergeCell ref="M40:N40"/>
    <mergeCell ref="H37:I37"/>
    <mergeCell ref="M37:N37"/>
    <mergeCell ref="B38:E38"/>
    <mergeCell ref="G38:J38"/>
    <mergeCell ref="M38:N38"/>
    <mergeCell ref="H34:I34"/>
    <mergeCell ref="M34:N34"/>
    <mergeCell ref="H35:I35"/>
    <mergeCell ref="M35:N35"/>
    <mergeCell ref="H36:I36"/>
    <mergeCell ref="M36:N36"/>
    <mergeCell ref="H31:I31"/>
    <mergeCell ref="M31:N31"/>
    <mergeCell ref="H32:I32"/>
    <mergeCell ref="M32:N32"/>
    <mergeCell ref="H33:I33"/>
    <mergeCell ref="M33:N33"/>
    <mergeCell ref="H29:I29"/>
    <mergeCell ref="M29:N29"/>
    <mergeCell ref="B30:E30"/>
    <mergeCell ref="G30:J30"/>
    <mergeCell ref="M30:N30"/>
    <mergeCell ref="H26:I26"/>
    <mergeCell ref="M26:N26"/>
    <mergeCell ref="H27:I27"/>
    <mergeCell ref="M27:N27"/>
    <mergeCell ref="H28:I28"/>
    <mergeCell ref="M28:N28"/>
    <mergeCell ref="H23:I23"/>
    <mergeCell ref="M23:N23"/>
    <mergeCell ref="H24:I24"/>
    <mergeCell ref="M24:N24"/>
    <mergeCell ref="H25:I25"/>
    <mergeCell ref="M25:N25"/>
    <mergeCell ref="H20:I20"/>
    <mergeCell ref="M20:N20"/>
    <mergeCell ref="H21:I21"/>
    <mergeCell ref="M21:N21"/>
    <mergeCell ref="H12:I12"/>
    <mergeCell ref="M12:N12"/>
    <mergeCell ref="H13:I13"/>
    <mergeCell ref="M13:N13"/>
    <mergeCell ref="B22:E22"/>
    <mergeCell ref="G22:J22"/>
    <mergeCell ref="M22:N22"/>
    <mergeCell ref="H17:I17"/>
    <mergeCell ref="M17:N17"/>
    <mergeCell ref="H18:I18"/>
    <mergeCell ref="M18:N18"/>
    <mergeCell ref="H19:I19"/>
    <mergeCell ref="M19:N19"/>
    <mergeCell ref="C42:F42"/>
    <mergeCell ref="G42:J42"/>
    <mergeCell ref="K42:L42"/>
    <mergeCell ref="C1:I2"/>
    <mergeCell ref="B41:E41"/>
    <mergeCell ref="B11:E11"/>
    <mergeCell ref="A7:O7"/>
    <mergeCell ref="B8:B9"/>
    <mergeCell ref="C8:F8"/>
    <mergeCell ref="G8:K8"/>
    <mergeCell ref="L8:N8"/>
    <mergeCell ref="H9:I9"/>
    <mergeCell ref="M9:N9"/>
    <mergeCell ref="B10:E10"/>
    <mergeCell ref="G10:J10"/>
    <mergeCell ref="M10:N10"/>
    <mergeCell ref="H14:I14"/>
    <mergeCell ref="M14:N14"/>
    <mergeCell ref="H15:I15"/>
    <mergeCell ref="M15:N15"/>
    <mergeCell ref="H16:I16"/>
    <mergeCell ref="M16:N16"/>
    <mergeCell ref="G11:J11"/>
    <mergeCell ref="M11:N11"/>
  </mergeCells>
  <hyperlinks>
    <hyperlink ref="D3" location="PPE!A10" display="NOTES TO ACCOUNTS" xr:uid="{469AD999-A35C-4C52-A3D6-BC06FD56BB73}"/>
    <hyperlink ref="D4" location="PPE!B45" display="SUMMARY OF YEAR" xr:uid="{654CD163-D63B-4780-B51E-D2CAAB9CF13A}"/>
    <hyperlink ref="D5" location="PPE!B58" display="TREND" xr:uid="{792D79FF-9F22-4DC1-B2CB-A873C1B2AFFA}"/>
    <hyperlink ref="D6" location="PPE!A64" display="ESTIMATION" xr:uid="{357ED678-91C3-4E7A-9E9E-EC5C7E22FA63}"/>
  </hyperlinks>
  <pageMargins left="0.7" right="0.7" top="0.75" bottom="0.75" header="0.3" footer="0.3"/>
  <tableParts count="7">
    <tablePart r:id="rId1"/>
    <tablePart r:id="rId2"/>
    <tablePart r:id="rId3"/>
    <tablePart r:id="rId4"/>
    <tablePart r:id="rId5"/>
    <tablePart r:id="rId6"/>
    <tablePart r:id="rId7"/>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CE4D8-E834-4E78-B0AC-B007B6DB4EE2}">
  <dimension ref="A1:R97"/>
  <sheetViews>
    <sheetView topLeftCell="A66" workbookViewId="0">
      <selection activeCell="H27" sqref="H27:N86"/>
    </sheetView>
  </sheetViews>
  <sheetFormatPr defaultRowHeight="14.4" x14ac:dyDescent="0.3"/>
  <cols>
    <col min="1" max="1" width="33" customWidth="1"/>
    <col min="2" max="2" width="10.109375" customWidth="1"/>
    <col min="3" max="6" width="10.5546875" customWidth="1"/>
    <col min="7" max="7" width="46.109375" customWidth="1"/>
    <col min="8" max="8" width="16.77734375" customWidth="1"/>
    <col min="9" max="9" width="11" customWidth="1"/>
    <col min="10" max="10" width="12.21875" customWidth="1"/>
    <col min="11" max="11" width="12.109375" customWidth="1"/>
    <col min="12" max="12" width="14.109375" customWidth="1"/>
    <col min="14" max="14" width="12" bestFit="1" customWidth="1"/>
  </cols>
  <sheetData>
    <row r="1" spans="1:13" ht="28.8" x14ac:dyDescent="0.55000000000000004">
      <c r="D1" s="721" t="s">
        <v>469</v>
      </c>
      <c r="E1" s="721"/>
      <c r="F1" s="721"/>
      <c r="G1" s="721"/>
    </row>
    <row r="2" spans="1:13" x14ac:dyDescent="0.3">
      <c r="D2">
        <v>1</v>
      </c>
      <c r="E2" s="190" t="s">
        <v>470</v>
      </c>
    </row>
    <row r="3" spans="1:13" x14ac:dyDescent="0.3">
      <c r="D3">
        <v>2</v>
      </c>
      <c r="E3" s="190" t="s">
        <v>471</v>
      </c>
    </row>
    <row r="4" spans="1:13" x14ac:dyDescent="0.3">
      <c r="D4">
        <v>3</v>
      </c>
      <c r="E4" s="190" t="s">
        <v>472</v>
      </c>
    </row>
    <row r="5" spans="1:13" x14ac:dyDescent="0.3">
      <c r="D5">
        <v>4</v>
      </c>
      <c r="E5" s="190" t="s">
        <v>473</v>
      </c>
    </row>
    <row r="7" spans="1:13" x14ac:dyDescent="0.3">
      <c r="A7" s="75" t="s">
        <v>313</v>
      </c>
      <c r="B7" s="113" t="s">
        <v>114</v>
      </c>
      <c r="C7" s="114" t="s">
        <v>115</v>
      </c>
      <c r="D7" s="115" t="s">
        <v>116</v>
      </c>
      <c r="E7" s="116" t="s">
        <v>117</v>
      </c>
      <c r="G7" s="125" t="s">
        <v>313</v>
      </c>
      <c r="H7" s="126" t="s">
        <v>316</v>
      </c>
      <c r="I7" s="127" t="s">
        <v>317</v>
      </c>
      <c r="J7" s="115" t="s">
        <v>116</v>
      </c>
      <c r="K7" s="116" t="s">
        <v>117</v>
      </c>
      <c r="L7" s="255" t="s">
        <v>449</v>
      </c>
      <c r="M7" s="255" t="s">
        <v>450</v>
      </c>
    </row>
    <row r="8" spans="1:13" ht="19.2" customHeight="1" x14ac:dyDescent="0.3">
      <c r="A8" s="117" t="s">
        <v>314</v>
      </c>
      <c r="B8" s="118"/>
      <c r="C8" s="119"/>
      <c r="D8" s="120"/>
      <c r="E8" s="120"/>
      <c r="G8" s="128" t="s">
        <v>318</v>
      </c>
      <c r="H8" s="129"/>
      <c r="I8" s="130"/>
      <c r="J8" s="131"/>
      <c r="K8" s="131"/>
      <c r="L8" s="253"/>
      <c r="M8" s="253"/>
    </row>
    <row r="9" spans="1:13" ht="13.8" customHeight="1" x14ac:dyDescent="0.3">
      <c r="A9" s="121" t="s">
        <v>315</v>
      </c>
      <c r="B9" s="118"/>
      <c r="C9" s="119"/>
      <c r="D9" s="120"/>
      <c r="E9" s="120"/>
      <c r="G9" s="128"/>
      <c r="H9" s="129"/>
      <c r="I9" s="129"/>
      <c r="J9" s="132"/>
      <c r="K9" s="132"/>
      <c r="L9" s="252"/>
      <c r="M9" s="252"/>
    </row>
    <row r="10" spans="1:13" ht="18" customHeight="1" x14ac:dyDescent="0.3">
      <c r="A10" s="122"/>
      <c r="B10" s="123"/>
      <c r="C10" s="124"/>
      <c r="D10" s="120"/>
      <c r="E10" s="120"/>
      <c r="G10" s="134" t="s">
        <v>319</v>
      </c>
      <c r="H10" s="135">
        <v>180</v>
      </c>
      <c r="I10" s="135">
        <v>473</v>
      </c>
      <c r="J10" s="136">
        <v>213</v>
      </c>
      <c r="K10" s="136">
        <v>99</v>
      </c>
      <c r="L10" s="252"/>
      <c r="M10" s="252"/>
    </row>
    <row r="11" spans="1:13" ht="18" customHeight="1" x14ac:dyDescent="0.3">
      <c r="A11" s="110" t="s">
        <v>330</v>
      </c>
      <c r="B11" s="147">
        <f>306154+139259</f>
        <v>445413</v>
      </c>
      <c r="C11" s="148">
        <v>423222</v>
      </c>
      <c r="D11" s="111">
        <v>301587</v>
      </c>
      <c r="E11" s="147">
        <v>479083</v>
      </c>
      <c r="G11" s="134" t="s">
        <v>320</v>
      </c>
      <c r="H11" s="137">
        <v>4432</v>
      </c>
      <c r="I11" s="137">
        <v>9133</v>
      </c>
      <c r="J11" s="136">
        <v>9408</v>
      </c>
      <c r="K11" s="136">
        <v>11463</v>
      </c>
      <c r="L11" s="252"/>
      <c r="M11" s="252"/>
    </row>
    <row r="12" spans="1:13" ht="18" customHeight="1" x14ac:dyDescent="0.3">
      <c r="A12" s="149" t="s">
        <v>331</v>
      </c>
      <c r="B12" s="104">
        <v>4384</v>
      </c>
      <c r="C12" s="112">
        <v>2666</v>
      </c>
      <c r="D12" s="150">
        <v>1596</v>
      </c>
      <c r="E12" s="147">
        <v>4952</v>
      </c>
      <c r="G12" s="134" t="s">
        <v>321</v>
      </c>
      <c r="H12" s="135">
        <v>282</v>
      </c>
      <c r="I12" s="135">
        <v>385</v>
      </c>
      <c r="J12" s="136">
        <v>589</v>
      </c>
      <c r="K12" s="136">
        <v>790</v>
      </c>
      <c r="L12" s="252"/>
      <c r="M12" s="252"/>
    </row>
    <row r="13" spans="1:13" ht="18" customHeight="1" x14ac:dyDescent="0.3">
      <c r="A13" s="149" t="s">
        <v>332</v>
      </c>
      <c r="B13" s="105">
        <v>115257</v>
      </c>
      <c r="C13" s="151">
        <v>141237</v>
      </c>
      <c r="D13" s="147">
        <v>133935</v>
      </c>
      <c r="E13" s="147">
        <v>170942</v>
      </c>
      <c r="G13" s="138" t="s">
        <v>322</v>
      </c>
      <c r="H13" s="135">
        <v>58</v>
      </c>
      <c r="I13" s="135">
        <v>326</v>
      </c>
      <c r="J13" s="136">
        <v>156</v>
      </c>
      <c r="K13" s="136">
        <v>177</v>
      </c>
      <c r="L13" s="252"/>
      <c r="M13" s="252"/>
    </row>
    <row r="14" spans="1:13" ht="18" customHeight="1" x14ac:dyDescent="0.3">
      <c r="A14" s="149" t="s">
        <v>333</v>
      </c>
      <c r="B14" s="104">
        <v>3896</v>
      </c>
      <c r="C14" s="112">
        <v>11994</v>
      </c>
      <c r="D14" s="147">
        <v>13691</v>
      </c>
      <c r="E14" s="147">
        <v>12041</v>
      </c>
      <c r="G14" s="139"/>
      <c r="H14" s="140">
        <v>4952</v>
      </c>
      <c r="I14" s="140">
        <v>10317</v>
      </c>
      <c r="J14" s="136">
        <v>10366</v>
      </c>
      <c r="K14" s="136">
        <v>12529</v>
      </c>
      <c r="L14" s="252"/>
      <c r="M14" s="252"/>
    </row>
    <row r="15" spans="1:13" ht="18" customHeight="1" x14ac:dyDescent="0.3">
      <c r="A15" s="149" t="s">
        <v>334</v>
      </c>
      <c r="B15" s="106">
        <v>250</v>
      </c>
      <c r="C15" s="112">
        <v>1550</v>
      </c>
      <c r="D15" s="147">
        <v>1077</v>
      </c>
      <c r="E15" s="147">
        <v>748</v>
      </c>
      <c r="G15" s="139"/>
      <c r="H15" s="141"/>
      <c r="I15" s="141"/>
      <c r="J15" s="136"/>
      <c r="K15" s="136"/>
      <c r="L15" s="252"/>
      <c r="M15" s="252"/>
    </row>
    <row r="16" spans="1:13" ht="18" customHeight="1" x14ac:dyDescent="0.3">
      <c r="A16" s="152" t="s">
        <v>311</v>
      </c>
      <c r="B16" s="107">
        <v>13894</v>
      </c>
      <c r="C16" s="153">
        <v>31768</v>
      </c>
      <c r="D16" s="147">
        <v>34440</v>
      </c>
      <c r="E16" s="147">
        <v>53868</v>
      </c>
      <c r="G16" s="142" t="s">
        <v>323</v>
      </c>
      <c r="H16" s="143">
        <v>501</v>
      </c>
      <c r="I16" s="143">
        <v>110</v>
      </c>
      <c r="J16" s="136">
        <v>39</v>
      </c>
      <c r="K16" s="136">
        <v>41</v>
      </c>
      <c r="L16" s="252"/>
      <c r="M16" s="252"/>
    </row>
    <row r="17" spans="1:18" ht="18" customHeight="1" x14ac:dyDescent="0.3">
      <c r="A17" s="154" t="s">
        <v>335</v>
      </c>
      <c r="B17" s="155">
        <v>583094</v>
      </c>
      <c r="C17" s="156">
        <f>SUBTOTAL(109,C8:C16)</f>
        <v>612437</v>
      </c>
      <c r="D17" s="157">
        <v>486236</v>
      </c>
      <c r="E17" s="157">
        <v>721634</v>
      </c>
      <c r="G17" s="139"/>
      <c r="H17" s="141"/>
      <c r="I17" s="141"/>
      <c r="J17" s="136"/>
      <c r="K17" s="136"/>
      <c r="L17" s="252"/>
      <c r="M17" s="252"/>
    </row>
    <row r="18" spans="1:18" ht="19.2" customHeight="1" x14ac:dyDescent="0.3">
      <c r="A18" s="74"/>
      <c r="B18" s="74"/>
      <c r="C18" s="74"/>
      <c r="D18" s="120"/>
      <c r="E18" s="120"/>
      <c r="G18" s="142" t="s">
        <v>324</v>
      </c>
      <c r="H18" s="143">
        <v>442</v>
      </c>
      <c r="I18" s="140">
        <v>1464</v>
      </c>
      <c r="J18" s="136">
        <v>958</v>
      </c>
      <c r="K18" s="136">
        <v>1025</v>
      </c>
      <c r="L18" s="252"/>
      <c r="M18" s="252"/>
    </row>
    <row r="19" spans="1:18" ht="15.6" x14ac:dyDescent="0.3">
      <c r="G19" s="139"/>
      <c r="H19" s="141"/>
      <c r="I19" s="141"/>
      <c r="J19" s="136"/>
      <c r="K19" s="136"/>
      <c r="L19" s="252"/>
      <c r="M19" s="252"/>
    </row>
    <row r="20" spans="1:18" ht="18" customHeight="1" x14ac:dyDescent="0.3">
      <c r="G20" s="142" t="s">
        <v>325</v>
      </c>
      <c r="H20" s="141"/>
      <c r="I20" s="141"/>
      <c r="J20" s="136"/>
      <c r="K20" s="136"/>
      <c r="L20" s="252"/>
      <c r="M20" s="252"/>
    </row>
    <row r="21" spans="1:18" ht="18" customHeight="1" x14ac:dyDescent="0.3">
      <c r="G21" s="138" t="s">
        <v>326</v>
      </c>
      <c r="H21" s="137">
        <v>1703</v>
      </c>
      <c r="I21" s="137">
        <v>2180</v>
      </c>
      <c r="J21" s="136">
        <v>5066</v>
      </c>
      <c r="K21" s="136">
        <v>1139</v>
      </c>
      <c r="L21" s="252"/>
      <c r="M21" s="252"/>
      <c r="Q21">
        <f>14947-10904</f>
        <v>4043</v>
      </c>
    </row>
    <row r="22" spans="1:18" ht="18" customHeight="1" x14ac:dyDescent="0.3">
      <c r="G22" s="138" t="s">
        <v>327</v>
      </c>
      <c r="H22" s="141"/>
      <c r="I22" s="141"/>
      <c r="J22" s="136">
        <v>102</v>
      </c>
      <c r="K22" s="136">
        <v>213</v>
      </c>
      <c r="L22" s="252"/>
      <c r="M22" s="252"/>
    </row>
    <row r="23" spans="1:18" ht="18" customHeight="1" x14ac:dyDescent="0.3">
      <c r="G23" s="138"/>
      <c r="H23" s="140">
        <v>2471</v>
      </c>
      <c r="I23" s="140">
        <v>2076</v>
      </c>
      <c r="J23" s="136">
        <v>4964</v>
      </c>
      <c r="K23" s="136">
        <v>1352</v>
      </c>
      <c r="L23" s="252"/>
      <c r="M23" s="256">
        <f>+J25-segmentrevenue!J17</f>
        <v>6808</v>
      </c>
    </row>
    <row r="24" spans="1:18" ht="18" customHeight="1" x14ac:dyDescent="0.3">
      <c r="G24" s="142" t="s">
        <v>328</v>
      </c>
      <c r="H24" s="143">
        <v>20</v>
      </c>
      <c r="I24" s="144">
        <v>-11</v>
      </c>
      <c r="J24" s="136"/>
      <c r="K24" s="136"/>
      <c r="L24" s="252"/>
      <c r="M24" s="252"/>
    </row>
    <row r="25" spans="1:18" ht="18" customHeight="1" x14ac:dyDescent="0.3">
      <c r="G25" s="142" t="s">
        <v>329</v>
      </c>
      <c r="H25" s="140">
        <v>8386</v>
      </c>
      <c r="I25" s="145">
        <v>13956</v>
      </c>
      <c r="J25" s="146">
        <v>16327</v>
      </c>
      <c r="K25" s="146">
        <v>14947</v>
      </c>
      <c r="L25" s="254"/>
      <c r="M25" s="254"/>
    </row>
    <row r="26" spans="1:18" ht="18" customHeight="1" x14ac:dyDescent="0.3"/>
    <row r="27" spans="1:18" ht="18" customHeight="1" x14ac:dyDescent="0.45">
      <c r="A27" s="722" t="s">
        <v>426</v>
      </c>
      <c r="B27" s="723"/>
      <c r="C27" s="723"/>
      <c r="D27" s="723"/>
      <c r="E27" s="723"/>
      <c r="F27" s="723"/>
      <c r="G27" s="724"/>
      <c r="H27" s="722" t="s">
        <v>446</v>
      </c>
      <c r="I27" s="723"/>
      <c r="J27" s="723"/>
      <c r="K27" s="723"/>
      <c r="L27" s="723"/>
      <c r="M27" s="723"/>
      <c r="N27" s="724"/>
      <c r="O27" s="227"/>
      <c r="P27" s="227"/>
      <c r="Q27" s="227"/>
      <c r="R27" s="227"/>
    </row>
    <row r="28" spans="1:18" ht="18" customHeight="1" x14ac:dyDescent="0.3">
      <c r="A28" s="201"/>
      <c r="B28" s="179" t="str">
        <f>Table1[[#Headers],[2018-19]]</f>
        <v>2018-19</v>
      </c>
      <c r="C28" s="179" t="str">
        <f>Table1[[#Headers],[2019-20]]</f>
        <v>2019-20</v>
      </c>
      <c r="D28" s="179" t="str">
        <f>Table1[[#Headers],[2020-21]]</f>
        <v>2020-21</v>
      </c>
      <c r="E28" s="179" t="str">
        <f>Table1[[#Headers],[2021-22]]</f>
        <v>2021-22</v>
      </c>
      <c r="G28" s="202"/>
      <c r="H28" s="201"/>
      <c r="I28" s="179" t="s">
        <v>114</v>
      </c>
      <c r="J28" s="179" t="s">
        <v>115</v>
      </c>
      <c r="K28" s="179" t="s">
        <v>116</v>
      </c>
      <c r="L28" s="179" t="s">
        <v>117</v>
      </c>
      <c r="N28" s="202"/>
    </row>
    <row r="29" spans="1:18" ht="18" customHeight="1" x14ac:dyDescent="0.3">
      <c r="A29" s="203" t="s">
        <v>425</v>
      </c>
      <c r="B29" s="1">
        <f>B11</f>
        <v>445413</v>
      </c>
      <c r="C29" s="1">
        <f t="shared" ref="C29:E29" si="0">C11</f>
        <v>423222</v>
      </c>
      <c r="D29" s="1">
        <f t="shared" si="0"/>
        <v>301587</v>
      </c>
      <c r="E29" s="1">
        <f t="shared" si="0"/>
        <v>479083</v>
      </c>
      <c r="G29" s="202"/>
      <c r="H29" s="203" t="s">
        <v>425</v>
      </c>
      <c r="I29" s="180">
        <f>B12</f>
        <v>4384</v>
      </c>
      <c r="J29" s="180">
        <f t="shared" ref="J29:L29" si="1">C12</f>
        <v>2666</v>
      </c>
      <c r="K29" s="180">
        <f t="shared" si="1"/>
        <v>1596</v>
      </c>
      <c r="L29" s="180">
        <f t="shared" si="1"/>
        <v>4952</v>
      </c>
      <c r="N29" s="202"/>
    </row>
    <row r="30" spans="1:18" ht="18" customHeight="1" x14ac:dyDescent="0.3">
      <c r="A30" s="204" t="s">
        <v>427</v>
      </c>
      <c r="C30" s="205">
        <f>C29/B29-1</f>
        <v>-4.9821177199587785E-2</v>
      </c>
      <c r="D30" s="205">
        <f t="shared" ref="D30:E30" si="2">D29/C29-1</f>
        <v>-0.28740235621021593</v>
      </c>
      <c r="E30" s="205">
        <f t="shared" si="2"/>
        <v>0.58853995696100969</v>
      </c>
      <c r="G30" s="202"/>
      <c r="H30" s="204" t="s">
        <v>427</v>
      </c>
      <c r="J30" s="205">
        <f>J29/I29-1</f>
        <v>-0.39187956204379559</v>
      </c>
      <c r="K30" s="205">
        <f t="shared" ref="K30:L30" si="3">K29/J29-1</f>
        <v>-0.40135033758439609</v>
      </c>
      <c r="L30" s="205">
        <f t="shared" si="3"/>
        <v>2.1027568922305764</v>
      </c>
      <c r="N30" s="202"/>
    </row>
    <row r="31" spans="1:18" ht="18" customHeight="1" x14ac:dyDescent="0.3">
      <c r="A31" s="201"/>
      <c r="G31" s="202"/>
      <c r="H31" s="201"/>
      <c r="N31" s="202"/>
    </row>
    <row r="32" spans="1:18" ht="18" customHeight="1" x14ac:dyDescent="0.3">
      <c r="A32" s="204" t="s">
        <v>428</v>
      </c>
      <c r="G32" s="202"/>
      <c r="H32" s="201"/>
      <c r="N32" s="202"/>
    </row>
    <row r="33" spans="1:14" ht="18" customHeight="1" x14ac:dyDescent="0.3">
      <c r="A33" s="201"/>
      <c r="C33" s="179" t="s">
        <v>437</v>
      </c>
      <c r="G33" s="202"/>
      <c r="H33" s="208" t="s">
        <v>453</v>
      </c>
      <c r="K33" s="196">
        <v>7.4999999999999997E-2</v>
      </c>
      <c r="N33" s="202"/>
    </row>
    <row r="34" spans="1:14" ht="18" customHeight="1" x14ac:dyDescent="0.3">
      <c r="A34" s="206" t="s">
        <v>429</v>
      </c>
      <c r="B34" s="196">
        <v>7.4999999999999997E-2</v>
      </c>
      <c r="C34" s="207">
        <v>7.4999999999999997E-2</v>
      </c>
      <c r="G34" s="202"/>
      <c r="H34" s="201"/>
      <c r="N34" s="202"/>
    </row>
    <row r="35" spans="1:14" ht="18" customHeight="1" x14ac:dyDescent="0.3">
      <c r="A35" s="208" t="s">
        <v>430</v>
      </c>
      <c r="C35" s="209">
        <v>0.02</v>
      </c>
      <c r="G35" s="202"/>
      <c r="H35" s="201"/>
      <c r="N35" s="202"/>
    </row>
    <row r="36" spans="1:14" ht="18" customHeight="1" x14ac:dyDescent="0.3">
      <c r="A36" s="208" t="s">
        <v>431</v>
      </c>
      <c r="C36" s="179"/>
      <c r="G36" s="202"/>
      <c r="H36" s="201"/>
      <c r="N36" s="202"/>
    </row>
    <row r="37" spans="1:14" ht="18" customHeight="1" x14ac:dyDescent="0.3">
      <c r="A37" s="208" t="s">
        <v>432</v>
      </c>
      <c r="C37" s="179">
        <v>0</v>
      </c>
      <c r="G37" s="202"/>
      <c r="H37" s="216" t="s">
        <v>448</v>
      </c>
      <c r="I37" s="217" t="s">
        <v>452</v>
      </c>
      <c r="J37" s="217" t="s">
        <v>439</v>
      </c>
      <c r="K37" s="217" t="s">
        <v>440</v>
      </c>
      <c r="L37" s="217" t="s">
        <v>441</v>
      </c>
      <c r="M37" s="217" t="s">
        <v>442</v>
      </c>
      <c r="N37" s="218" t="s">
        <v>443</v>
      </c>
    </row>
    <row r="38" spans="1:14" ht="18" customHeight="1" x14ac:dyDescent="0.3">
      <c r="A38" s="208" t="s">
        <v>433</v>
      </c>
      <c r="C38" s="179"/>
      <c r="G38" s="202"/>
      <c r="H38" s="233" t="s">
        <v>425</v>
      </c>
      <c r="I38" s="219">
        <f>L29</f>
        <v>4952</v>
      </c>
      <c r="J38" s="220">
        <f t="shared" ref="J38" si="4">I38*(1+J39)</f>
        <v>5323.4</v>
      </c>
      <c r="K38" s="221">
        <f>J38*(1+K39)</f>
        <v>5722.6549999999997</v>
      </c>
      <c r="L38" s="220">
        <f>K38*(1+L39)</f>
        <v>6151.8541249999998</v>
      </c>
      <c r="M38" s="221">
        <f>L38*(1+M39)</f>
        <v>6613.2431843749991</v>
      </c>
      <c r="N38" s="228">
        <f>M38*(1+N39)</f>
        <v>7109.2364232031241</v>
      </c>
    </row>
    <row r="39" spans="1:14" x14ac:dyDescent="0.3">
      <c r="A39" s="208" t="s">
        <v>434</v>
      </c>
      <c r="C39" s="210">
        <v>2.5000000000000001E-2</v>
      </c>
      <c r="G39" s="202"/>
      <c r="H39" s="233" t="s">
        <v>447</v>
      </c>
      <c r="I39" s="219"/>
      <c r="J39" s="222">
        <f>$K$33</f>
        <v>7.4999999999999997E-2</v>
      </c>
      <c r="K39" s="222">
        <f t="shared" ref="K39:N39" si="5">$K$33</f>
        <v>7.4999999999999997E-2</v>
      </c>
      <c r="L39" s="222">
        <f t="shared" si="5"/>
        <v>7.4999999999999997E-2</v>
      </c>
      <c r="M39" s="222">
        <f t="shared" si="5"/>
        <v>7.4999999999999997E-2</v>
      </c>
      <c r="N39" s="222">
        <f t="shared" si="5"/>
        <v>7.4999999999999997E-2</v>
      </c>
    </row>
    <row r="40" spans="1:14" x14ac:dyDescent="0.3">
      <c r="A40" s="208" t="s">
        <v>435</v>
      </c>
      <c r="C40" s="179"/>
      <c r="G40" s="202"/>
      <c r="H40" s="201"/>
      <c r="N40" s="202"/>
    </row>
    <row r="41" spans="1:14" x14ac:dyDescent="0.3">
      <c r="A41" s="208" t="s">
        <v>436</v>
      </c>
      <c r="C41" s="207">
        <f>SUM(C34:C40)</f>
        <v>0.12</v>
      </c>
      <c r="G41" s="202"/>
      <c r="H41" s="201"/>
      <c r="N41" s="202"/>
    </row>
    <row r="42" spans="1:14" x14ac:dyDescent="0.3">
      <c r="A42" s="208" t="s">
        <v>438</v>
      </c>
      <c r="C42" s="207">
        <v>0.1</v>
      </c>
      <c r="G42" s="202"/>
      <c r="H42" s="201"/>
      <c r="N42" s="202"/>
    </row>
    <row r="43" spans="1:14" x14ac:dyDescent="0.3">
      <c r="A43" s="208"/>
      <c r="G43" s="202"/>
      <c r="H43" s="201"/>
      <c r="N43" s="202"/>
    </row>
    <row r="44" spans="1:14" x14ac:dyDescent="0.3">
      <c r="A44" s="208" t="s">
        <v>410</v>
      </c>
      <c r="B44" t="s">
        <v>117</v>
      </c>
      <c r="C44" s="224" t="s">
        <v>439</v>
      </c>
      <c r="D44" s="225" t="s">
        <v>440</v>
      </c>
      <c r="E44" s="224" t="s">
        <v>441</v>
      </c>
      <c r="F44" s="225" t="s">
        <v>442</v>
      </c>
      <c r="G44" s="226" t="s">
        <v>443</v>
      </c>
      <c r="H44" s="201"/>
      <c r="N44" s="202"/>
    </row>
    <row r="45" spans="1:14" s="200" customFormat="1" x14ac:dyDescent="0.3">
      <c r="A45" s="211" t="s">
        <v>445</v>
      </c>
      <c r="B45" s="187">
        <f>E29</f>
        <v>479083</v>
      </c>
      <c r="C45" s="187">
        <f>B45*(1+C46)</f>
        <v>536572.96000000008</v>
      </c>
      <c r="D45" s="187">
        <f t="shared" ref="D45:G45" si="6">C45*(1+D46)</f>
        <v>590230.25600000017</v>
      </c>
      <c r="E45" s="187">
        <f t="shared" si="6"/>
        <v>649253.28160000022</v>
      </c>
      <c r="F45" s="187">
        <f t="shared" si="6"/>
        <v>714178.60976000025</v>
      </c>
      <c r="G45" s="212">
        <f t="shared" si="6"/>
        <v>785596.47073600034</v>
      </c>
      <c r="H45" s="229"/>
      <c r="N45" s="230"/>
    </row>
    <row r="46" spans="1:14" s="200" customFormat="1" x14ac:dyDescent="0.3">
      <c r="A46" s="213" t="s">
        <v>444</v>
      </c>
      <c r="B46" s="214"/>
      <c r="C46" s="215">
        <f>C41</f>
        <v>0.12</v>
      </c>
      <c r="D46" s="215">
        <f>$C$42</f>
        <v>0.1</v>
      </c>
      <c r="E46" s="215">
        <f t="shared" ref="E46:G46" si="7">$C$42</f>
        <v>0.1</v>
      </c>
      <c r="F46" s="215">
        <f t="shared" si="7"/>
        <v>0.1</v>
      </c>
      <c r="G46" s="240">
        <f t="shared" si="7"/>
        <v>0.1</v>
      </c>
      <c r="H46" s="213"/>
      <c r="I46" s="231"/>
      <c r="J46" s="231"/>
      <c r="K46" s="231"/>
      <c r="L46" s="231"/>
      <c r="M46" s="231"/>
      <c r="N46" s="232"/>
    </row>
    <row r="48" spans="1:14" ht="23.4" x14ac:dyDescent="0.45">
      <c r="A48" s="719" t="s">
        <v>454</v>
      </c>
      <c r="B48" s="719"/>
      <c r="C48" s="719"/>
      <c r="D48" s="719"/>
      <c r="E48" s="719"/>
      <c r="F48" s="719"/>
      <c r="G48" s="719"/>
      <c r="H48" s="720" t="s">
        <v>462</v>
      </c>
      <c r="I48" s="720"/>
      <c r="J48" s="720"/>
      <c r="K48" s="720"/>
      <c r="L48" s="720"/>
      <c r="M48" s="720"/>
      <c r="N48" s="720"/>
    </row>
    <row r="49" spans="1:14" ht="23.4" x14ac:dyDescent="0.45">
      <c r="B49" t="str">
        <f>Table1[[#Headers],[2018-19]]</f>
        <v>2018-19</v>
      </c>
      <c r="C49" t="str">
        <f>Table1[[#Headers],[2019-20]]</f>
        <v>2019-20</v>
      </c>
      <c r="D49" t="str">
        <f>Table1[[#Headers],[2020-21]]</f>
        <v>2020-21</v>
      </c>
      <c r="E49" t="str">
        <f>Table1[[#Headers],[2021-22]]</f>
        <v>2021-22</v>
      </c>
      <c r="H49" s="195"/>
      <c r="I49" t="str">
        <f>Table1[[#Headers],[2018-19]]</f>
        <v>2018-19</v>
      </c>
      <c r="J49" t="str">
        <f>Table1[[#Headers],[2019-20]]</f>
        <v>2019-20</v>
      </c>
      <c r="K49" t="str">
        <f>Table1[[#Headers],[2020-21]]</f>
        <v>2020-21</v>
      </c>
      <c r="L49" t="str">
        <f>Table1[[#Headers],[2021-22]]</f>
        <v>2021-22</v>
      </c>
      <c r="M49" s="195"/>
      <c r="N49" s="195"/>
    </row>
    <row r="50" spans="1:14" ht="15.6" x14ac:dyDescent="0.3">
      <c r="A50" s="203" t="s">
        <v>425</v>
      </c>
      <c r="B50" s="178">
        <f>B13</f>
        <v>115257</v>
      </c>
      <c r="C50" s="178">
        <f>C13</f>
        <v>141237</v>
      </c>
      <c r="D50" s="178">
        <f>D13</f>
        <v>133935</v>
      </c>
      <c r="E50" s="178">
        <f>E13</f>
        <v>170942</v>
      </c>
      <c r="H50" s="203" t="s">
        <v>425</v>
      </c>
      <c r="I50" s="180">
        <f>B16</f>
        <v>13894</v>
      </c>
      <c r="J50" s="180">
        <f t="shared" ref="J50:L50" si="8">C16</f>
        <v>31768</v>
      </c>
      <c r="K50" s="180">
        <f t="shared" si="8"/>
        <v>34440</v>
      </c>
      <c r="L50" s="180">
        <f t="shared" si="8"/>
        <v>53868</v>
      </c>
    </row>
    <row r="51" spans="1:14" x14ac:dyDescent="0.3">
      <c r="A51" s="204" t="s">
        <v>427</v>
      </c>
      <c r="C51" s="205">
        <f>C50/B50-1</f>
        <v>0.22540930268877379</v>
      </c>
      <c r="D51" s="205">
        <f t="shared" ref="D51" si="9">D50/C50-1</f>
        <v>-5.1700333482019634E-2</v>
      </c>
      <c r="E51" s="205">
        <f t="shared" ref="E51" si="10">E50/D50-1</f>
        <v>0.27630567066114153</v>
      </c>
      <c r="H51" s="204" t="s">
        <v>427</v>
      </c>
      <c r="J51" s="205">
        <f>J50/I50-1</f>
        <v>1.2864545847128257</v>
      </c>
      <c r="K51" s="205">
        <f t="shared" ref="K51" si="11">K50/J50-1</f>
        <v>8.4109796021153427E-2</v>
      </c>
      <c r="L51" s="205">
        <f t="shared" ref="L51" si="12">L50/K50-1</f>
        <v>0.56411149825783968</v>
      </c>
    </row>
    <row r="53" spans="1:14" ht="15.6" x14ac:dyDescent="0.3">
      <c r="A53" s="234" t="s">
        <v>455</v>
      </c>
      <c r="B53" s="234"/>
      <c r="C53" s="235">
        <v>0.23</v>
      </c>
      <c r="H53" t="s">
        <v>463</v>
      </c>
      <c r="I53" s="189">
        <v>0.22</v>
      </c>
    </row>
    <row r="54" spans="1:14" x14ac:dyDescent="0.3">
      <c r="A54" s="179" t="s">
        <v>456</v>
      </c>
      <c r="C54">
        <v>0</v>
      </c>
      <c r="H54" s="216" t="s">
        <v>448</v>
      </c>
      <c r="I54" s="217" t="s">
        <v>452</v>
      </c>
      <c r="J54" s="217" t="s">
        <v>439</v>
      </c>
      <c r="K54" s="217" t="s">
        <v>440</v>
      </c>
      <c r="L54" s="217" t="s">
        <v>441</v>
      </c>
      <c r="M54" s="217" t="s">
        <v>442</v>
      </c>
      <c r="N54" s="218" t="s">
        <v>443</v>
      </c>
    </row>
    <row r="55" spans="1:14" x14ac:dyDescent="0.3">
      <c r="A55" s="179" t="s">
        <v>457</v>
      </c>
      <c r="C55" s="196">
        <v>2.5000000000000001E-2</v>
      </c>
      <c r="H55" s="233" t="s">
        <v>425</v>
      </c>
      <c r="I55" s="219">
        <f>L50</f>
        <v>53868</v>
      </c>
      <c r="J55" s="220">
        <f t="shared" ref="J55" si="13">I55*(1+J56)</f>
        <v>65718.959999999992</v>
      </c>
      <c r="K55" s="221">
        <f>J55*(1+K56)</f>
        <v>80177.131199999989</v>
      </c>
      <c r="L55" s="220">
        <f>K55*(1+L56)</f>
        <v>97816.100063999984</v>
      </c>
      <c r="M55" s="221">
        <f>L55*(1+M56)</f>
        <v>119335.64207807998</v>
      </c>
      <c r="N55" s="228">
        <f>M55*(1+N56)</f>
        <v>145589.48333525757</v>
      </c>
    </row>
    <row r="56" spans="1:14" x14ac:dyDescent="0.3">
      <c r="A56" s="179" t="s">
        <v>458</v>
      </c>
      <c r="C56">
        <v>0</v>
      </c>
      <c r="H56" s="233" t="s">
        <v>447</v>
      </c>
      <c r="I56" s="219"/>
      <c r="J56" s="222">
        <f>$I$53</f>
        <v>0.22</v>
      </c>
      <c r="K56" s="222">
        <f t="shared" ref="K56:N56" si="14">$I$53</f>
        <v>0.22</v>
      </c>
      <c r="L56" s="222">
        <f t="shared" si="14"/>
        <v>0.22</v>
      </c>
      <c r="M56" s="222">
        <f t="shared" si="14"/>
        <v>0.22</v>
      </c>
      <c r="N56" s="222">
        <f t="shared" si="14"/>
        <v>0.22</v>
      </c>
    </row>
    <row r="57" spans="1:14" x14ac:dyDescent="0.3">
      <c r="A57" s="179" t="s">
        <v>459</v>
      </c>
      <c r="C57" s="196">
        <v>-1.4999999999999999E-2</v>
      </c>
    </row>
    <row r="58" spans="1:14" ht="18" x14ac:dyDescent="0.35">
      <c r="A58" s="179" t="s">
        <v>460</v>
      </c>
      <c r="C58" s="236">
        <f>SUM(C53:C57)</f>
        <v>0.24</v>
      </c>
    </row>
    <row r="60" spans="1:14" x14ac:dyDescent="0.3">
      <c r="A60" s="237" t="s">
        <v>410</v>
      </c>
      <c r="B60" t="s">
        <v>117</v>
      </c>
      <c r="C60" t="s">
        <v>439</v>
      </c>
      <c r="D60" t="s">
        <v>440</v>
      </c>
      <c r="E60" t="s">
        <v>441</v>
      </c>
      <c r="F60" t="s">
        <v>442</v>
      </c>
      <c r="G60" t="s">
        <v>443</v>
      </c>
    </row>
    <row r="61" spans="1:14" x14ac:dyDescent="0.3">
      <c r="A61" s="238" t="s">
        <v>445</v>
      </c>
      <c r="B61" s="180">
        <f>E50</f>
        <v>170942</v>
      </c>
      <c r="C61" s="221">
        <f>B61*(1+C62)</f>
        <v>211968.08</v>
      </c>
      <c r="D61" s="220">
        <f t="shared" ref="D61:G61" si="15">C61*(1+D62)</f>
        <v>262840.4192</v>
      </c>
      <c r="E61" s="221">
        <f t="shared" si="15"/>
        <v>325922.11980799999</v>
      </c>
      <c r="F61" s="221">
        <f t="shared" si="15"/>
        <v>404143.42856192001</v>
      </c>
      <c r="G61" s="221">
        <f t="shared" si="15"/>
        <v>501137.85141678079</v>
      </c>
    </row>
    <row r="62" spans="1:14" x14ac:dyDescent="0.3">
      <c r="A62" s="239" t="s">
        <v>444</v>
      </c>
      <c r="C62" s="197">
        <f>$C$58</f>
        <v>0.24</v>
      </c>
      <c r="D62" s="197">
        <f t="shared" ref="D62:G62" si="16">$C$58</f>
        <v>0.24</v>
      </c>
      <c r="E62" s="197">
        <f t="shared" si="16"/>
        <v>0.24</v>
      </c>
      <c r="F62" s="197">
        <f t="shared" si="16"/>
        <v>0.24</v>
      </c>
      <c r="G62" s="197">
        <f t="shared" si="16"/>
        <v>0.24</v>
      </c>
    </row>
    <row r="64" spans="1:14" ht="21" x14ac:dyDescent="0.4">
      <c r="A64" s="719" t="s">
        <v>461</v>
      </c>
      <c r="B64" s="719"/>
      <c r="C64" s="719"/>
      <c r="D64" s="719"/>
      <c r="E64" s="719"/>
      <c r="F64" s="719"/>
      <c r="G64" s="719"/>
      <c r="H64" s="719" t="s">
        <v>467</v>
      </c>
      <c r="I64" s="719"/>
      <c r="J64" s="719"/>
      <c r="K64" s="719"/>
      <c r="L64" s="719"/>
      <c r="M64" s="719"/>
      <c r="N64" s="719"/>
    </row>
    <row r="65" spans="1:14" x14ac:dyDescent="0.3">
      <c r="B65" t="str">
        <f>Table1[[#Headers],[2018-19]]</f>
        <v>2018-19</v>
      </c>
      <c r="C65" t="str">
        <f>Table1[[#Headers],[2019-20]]</f>
        <v>2019-20</v>
      </c>
      <c r="D65" t="str">
        <f>Table1[[#Headers],[2020-21]]</f>
        <v>2020-21</v>
      </c>
      <c r="E65" t="str">
        <f>Table1[[#Headers],[2021-22]]</f>
        <v>2021-22</v>
      </c>
    </row>
    <row r="66" spans="1:14" ht="23.4" x14ac:dyDescent="0.45">
      <c r="A66" t="s">
        <v>464</v>
      </c>
      <c r="B66" s="241">
        <f>B15</f>
        <v>250</v>
      </c>
      <c r="C66" s="241">
        <f t="shared" ref="C66:E66" si="17">C15</f>
        <v>1550</v>
      </c>
      <c r="D66" s="241">
        <f t="shared" si="17"/>
        <v>1077</v>
      </c>
      <c r="E66" s="241">
        <f t="shared" si="17"/>
        <v>748</v>
      </c>
      <c r="F66" s="241"/>
      <c r="H66" s="195"/>
      <c r="I66" t="str">
        <f>Table1[[#Headers],[2018-19]]</f>
        <v>2018-19</v>
      </c>
      <c r="J66" t="str">
        <f>Table1[[#Headers],[2019-20]]</f>
        <v>2019-20</v>
      </c>
      <c r="K66" t="str">
        <f>Table1[[#Headers],[2020-21]]</f>
        <v>2020-21</v>
      </c>
      <c r="L66" t="str">
        <f>Table1[[#Headers],[2021-22]]</f>
        <v>2021-22</v>
      </c>
    </row>
    <row r="67" spans="1:14" ht="15.6" x14ac:dyDescent="0.3">
      <c r="C67" s="194">
        <f>C66/B66-1</f>
        <v>5.2</v>
      </c>
      <c r="D67" s="194">
        <f t="shared" ref="D67:E67" si="18">D66/C66-1</f>
        <v>-0.30516129032258066</v>
      </c>
      <c r="E67" s="194">
        <f t="shared" si="18"/>
        <v>-0.30547818012999073</v>
      </c>
      <c r="H67" s="203" t="s">
        <v>425</v>
      </c>
      <c r="I67" s="180">
        <f>B14</f>
        <v>3896</v>
      </c>
      <c r="J67" s="180">
        <f t="shared" ref="J67:L67" si="19">C14</f>
        <v>11994</v>
      </c>
      <c r="K67" s="180">
        <f t="shared" si="19"/>
        <v>13691</v>
      </c>
      <c r="L67" s="180">
        <f t="shared" si="19"/>
        <v>12041</v>
      </c>
    </row>
    <row r="68" spans="1:14" x14ac:dyDescent="0.3">
      <c r="A68" t="s">
        <v>465</v>
      </c>
      <c r="H68" s="204" t="s">
        <v>427</v>
      </c>
      <c r="J68" s="205">
        <f>J67/I67-1</f>
        <v>2.0785420944558521</v>
      </c>
      <c r="K68" s="205">
        <f t="shared" ref="K68" si="20">K67/J67-1</f>
        <v>0.14148741037185264</v>
      </c>
      <c r="L68" s="205">
        <f t="shared" ref="L68" si="21">L67/K67-1</f>
        <v>-0.12051712804031844</v>
      </c>
    </row>
    <row r="69" spans="1:14" x14ac:dyDescent="0.3">
      <c r="A69" t="s">
        <v>466</v>
      </c>
    </row>
    <row r="71" spans="1:14" x14ac:dyDescent="0.3">
      <c r="A71" s="237" t="s">
        <v>410</v>
      </c>
      <c r="B71" t="s">
        <v>117</v>
      </c>
      <c r="C71" t="s">
        <v>439</v>
      </c>
      <c r="D71" t="s">
        <v>440</v>
      </c>
      <c r="E71" t="s">
        <v>441</v>
      </c>
      <c r="F71" t="s">
        <v>442</v>
      </c>
      <c r="G71" t="s">
        <v>443</v>
      </c>
    </row>
    <row r="72" spans="1:14" x14ac:dyDescent="0.3">
      <c r="A72" s="238" t="s">
        <v>445</v>
      </c>
      <c r="B72" s="180">
        <f t="shared" ref="B72:B73" si="22">E66</f>
        <v>748</v>
      </c>
      <c r="C72" s="221">
        <v>750</v>
      </c>
      <c r="D72" s="220">
        <v>750</v>
      </c>
      <c r="E72" s="221">
        <v>750</v>
      </c>
      <c r="F72" s="221">
        <v>750</v>
      </c>
      <c r="G72" s="221">
        <v>750</v>
      </c>
    </row>
    <row r="73" spans="1:14" x14ac:dyDescent="0.3">
      <c r="A73" s="239" t="s">
        <v>444</v>
      </c>
      <c r="B73" s="180">
        <f t="shared" si="22"/>
        <v>-0.30547818012999073</v>
      </c>
      <c r="C73" s="197">
        <v>0</v>
      </c>
      <c r="D73" s="197">
        <v>0</v>
      </c>
      <c r="E73" s="197">
        <v>0</v>
      </c>
      <c r="F73" s="197">
        <v>0</v>
      </c>
      <c r="G73" s="197">
        <v>0</v>
      </c>
    </row>
    <row r="75" spans="1:14" x14ac:dyDescent="0.3">
      <c r="H75" s="237" t="s">
        <v>410</v>
      </c>
      <c r="I75" t="s">
        <v>117</v>
      </c>
      <c r="J75" t="s">
        <v>439</v>
      </c>
      <c r="K75" t="s">
        <v>440</v>
      </c>
      <c r="L75" t="s">
        <v>441</v>
      </c>
      <c r="M75" t="s">
        <v>442</v>
      </c>
      <c r="N75" t="s">
        <v>443</v>
      </c>
    </row>
    <row r="76" spans="1:14" x14ac:dyDescent="0.3">
      <c r="H76" s="238" t="s">
        <v>445</v>
      </c>
      <c r="I76" s="180">
        <f t="shared" ref="I76:I77" si="23">L67</f>
        <v>12041</v>
      </c>
      <c r="J76" s="221">
        <f>I76*(1+J77)</f>
        <v>13606.329999999998</v>
      </c>
      <c r="K76" s="220">
        <f t="shared" ref="K76" si="24">J76*(1+K77)</f>
        <v>15647.279499999997</v>
      </c>
      <c r="L76" s="221">
        <f t="shared" ref="L76" si="25">K76*(1+L77)</f>
        <v>17994.371424999994</v>
      </c>
      <c r="M76" s="221">
        <f t="shared" ref="M76" si="26">L76*(1+M77)</f>
        <v>20693.527138749992</v>
      </c>
      <c r="N76" s="242">
        <f>Table141618[[#This Row],[2025-26E]]*(1+N77)</f>
        <v>23797.556209562488</v>
      </c>
    </row>
    <row r="77" spans="1:14" x14ac:dyDescent="0.3">
      <c r="H77" s="239" t="s">
        <v>444</v>
      </c>
      <c r="I77" s="180">
        <f t="shared" si="23"/>
        <v>-0.12051712804031844</v>
      </c>
      <c r="J77" s="197">
        <v>0.13</v>
      </c>
      <c r="K77" s="197">
        <v>0.15</v>
      </c>
      <c r="L77" s="197">
        <v>0.15</v>
      </c>
      <c r="M77" s="197">
        <v>0.15</v>
      </c>
      <c r="N77" s="197">
        <v>0.15</v>
      </c>
    </row>
    <row r="79" spans="1:14" x14ac:dyDescent="0.3">
      <c r="A79" t="s">
        <v>468</v>
      </c>
      <c r="B79" t="s">
        <v>313</v>
      </c>
      <c r="C79" s="199" t="s">
        <v>439</v>
      </c>
      <c r="D79" s="199" t="s">
        <v>440</v>
      </c>
      <c r="E79" s="199" t="s">
        <v>441</v>
      </c>
      <c r="F79" s="199" t="s">
        <v>442</v>
      </c>
      <c r="G79" s="223" t="s">
        <v>443</v>
      </c>
    </row>
    <row r="80" spans="1:14" x14ac:dyDescent="0.3">
      <c r="A80" t="str">
        <f>A27</f>
        <v>OIL to Chemicals</v>
      </c>
      <c r="C80">
        <f>C45</f>
        <v>536572.96000000008</v>
      </c>
      <c r="D80">
        <f t="shared" ref="D80:G80" si="27">D45</f>
        <v>590230.25600000017</v>
      </c>
      <c r="E80">
        <f t="shared" si="27"/>
        <v>649253.28160000022</v>
      </c>
      <c r="F80">
        <f t="shared" si="27"/>
        <v>714178.60976000025</v>
      </c>
      <c r="G80" s="198">
        <f t="shared" si="27"/>
        <v>785596.47073600034</v>
      </c>
    </row>
    <row r="81" spans="1:7" x14ac:dyDescent="0.3">
      <c r="A81" t="str">
        <f>H27</f>
        <v>OIL &amp; gas</v>
      </c>
      <c r="C81">
        <f>J38</f>
        <v>5323.4</v>
      </c>
      <c r="D81">
        <f t="shared" ref="D81:G81" si="28">K38</f>
        <v>5722.6549999999997</v>
      </c>
      <c r="E81">
        <f t="shared" si="28"/>
        <v>6151.8541249999998</v>
      </c>
      <c r="F81">
        <f t="shared" si="28"/>
        <v>6613.2431843749991</v>
      </c>
      <c r="G81" s="198">
        <f t="shared" si="28"/>
        <v>7109.2364232031241</v>
      </c>
    </row>
    <row r="82" spans="1:7" x14ac:dyDescent="0.3">
      <c r="A82" t="str">
        <f>A48</f>
        <v>ORGANISATION RETAIL</v>
      </c>
      <c r="C82">
        <f>C61</f>
        <v>211968.08</v>
      </c>
      <c r="D82">
        <f t="shared" ref="D82:G82" si="29">D61</f>
        <v>262840.4192</v>
      </c>
      <c r="E82">
        <f t="shared" si="29"/>
        <v>325922.11980799999</v>
      </c>
      <c r="F82">
        <f t="shared" si="29"/>
        <v>404143.42856192001</v>
      </c>
      <c r="G82" s="198">
        <f t="shared" si="29"/>
        <v>501137.85141678079</v>
      </c>
    </row>
    <row r="83" spans="1:7" x14ac:dyDescent="0.3">
      <c r="A83" t="str">
        <f>H64</f>
        <v>Digital Services</v>
      </c>
      <c r="C83">
        <f>J76</f>
        <v>13606.329999999998</v>
      </c>
      <c r="D83">
        <f t="shared" ref="D83:G83" si="30">K76</f>
        <v>15647.279499999997</v>
      </c>
      <c r="E83">
        <f t="shared" si="30"/>
        <v>17994.371424999994</v>
      </c>
      <c r="F83">
        <f t="shared" si="30"/>
        <v>20693.527138749992</v>
      </c>
      <c r="G83" s="198">
        <f t="shared" si="30"/>
        <v>23797.556209562488</v>
      </c>
    </row>
    <row r="84" spans="1:7" x14ac:dyDescent="0.3">
      <c r="A84" t="str">
        <f>A64</f>
        <v>Financial services</v>
      </c>
      <c r="C84">
        <f>C72</f>
        <v>750</v>
      </c>
      <c r="D84">
        <f t="shared" ref="D84:G84" si="31">D72</f>
        <v>750</v>
      </c>
      <c r="E84">
        <f t="shared" si="31"/>
        <v>750</v>
      </c>
      <c r="F84">
        <f t="shared" si="31"/>
        <v>750</v>
      </c>
      <c r="G84" s="198">
        <f t="shared" si="31"/>
        <v>750</v>
      </c>
    </row>
    <row r="85" spans="1:7" x14ac:dyDescent="0.3">
      <c r="A85" t="str">
        <f>H48</f>
        <v>others</v>
      </c>
      <c r="C85">
        <f>J55</f>
        <v>65718.959999999992</v>
      </c>
      <c r="D85">
        <f t="shared" ref="D85:G85" si="32">K55</f>
        <v>80177.131199999989</v>
      </c>
      <c r="E85">
        <f t="shared" si="32"/>
        <v>97816.100063999984</v>
      </c>
      <c r="F85">
        <f t="shared" si="32"/>
        <v>119335.64207807998</v>
      </c>
      <c r="G85" s="198">
        <f t="shared" si="32"/>
        <v>145589.48333525757</v>
      </c>
    </row>
    <row r="86" spans="1:7" x14ac:dyDescent="0.3">
      <c r="A86" t="s">
        <v>95</v>
      </c>
      <c r="C86">
        <f>SUBTOTAL(109,Table18[2022-23E])</f>
        <v>833939.73</v>
      </c>
      <c r="D86">
        <f>SUBTOTAL(109,Table18[2023-24E])</f>
        <v>955367.74090000009</v>
      </c>
      <c r="E86">
        <f>SUBTOTAL(109,Table18[2024-25E])</f>
        <v>1097887.7270220001</v>
      </c>
      <c r="F86">
        <f>SUBTOTAL(109,Table18[2025-26E])</f>
        <v>1265714.4507231254</v>
      </c>
      <c r="G86" s="198">
        <f>SUBTOTAL(109,Table18[2026-27E])</f>
        <v>1463980.5981208044</v>
      </c>
    </row>
    <row r="88" spans="1:7" x14ac:dyDescent="0.3">
      <c r="F88" s="182"/>
    </row>
    <row r="90" spans="1:7" x14ac:dyDescent="0.3">
      <c r="A90" t="s">
        <v>473</v>
      </c>
      <c r="B90" t="str">
        <f>H7</f>
        <v>2018-19</v>
      </c>
      <c r="C90" t="str">
        <f t="shared" ref="C90:E90" si="33">I7</f>
        <v>2019-20</v>
      </c>
      <c r="D90" t="str">
        <f t="shared" si="33"/>
        <v>2020-21</v>
      </c>
      <c r="E90" t="str">
        <f t="shared" si="33"/>
        <v>2021-22</v>
      </c>
    </row>
    <row r="91" spans="1:7" x14ac:dyDescent="0.3">
      <c r="B91" s="180">
        <f>H25</f>
        <v>8386</v>
      </c>
      <c r="C91" s="180">
        <f t="shared" ref="C91:E91" si="34">I25</f>
        <v>13956</v>
      </c>
      <c r="D91" s="180">
        <f t="shared" si="34"/>
        <v>16327</v>
      </c>
      <c r="E91" s="180">
        <f t="shared" si="34"/>
        <v>14947</v>
      </c>
    </row>
    <row r="92" spans="1:7" x14ac:dyDescent="0.3">
      <c r="C92" s="182">
        <f>C91/B91-1</f>
        <v>0.66420224183162424</v>
      </c>
      <c r="D92" s="182">
        <f t="shared" ref="D92:E92" si="35">D91/C91-1</f>
        <v>0.1698910862711378</v>
      </c>
      <c r="E92" s="182">
        <f t="shared" si="35"/>
        <v>-8.4522569976113182E-2</v>
      </c>
    </row>
    <row r="93" spans="1:7" x14ac:dyDescent="0.3">
      <c r="A93" t="s">
        <v>474</v>
      </c>
    </row>
    <row r="95" spans="1:7" x14ac:dyDescent="0.3">
      <c r="A95" s="237" t="s">
        <v>410</v>
      </c>
      <c r="B95" t="s">
        <v>117</v>
      </c>
      <c r="C95" t="s">
        <v>439</v>
      </c>
      <c r="D95" t="s">
        <v>440</v>
      </c>
      <c r="E95" t="s">
        <v>441</v>
      </c>
      <c r="F95" t="s">
        <v>442</v>
      </c>
      <c r="G95" t="s">
        <v>443</v>
      </c>
    </row>
    <row r="96" spans="1:7" x14ac:dyDescent="0.3">
      <c r="A96" s="238" t="s">
        <v>445</v>
      </c>
      <c r="B96" s="180">
        <v>12350</v>
      </c>
      <c r="C96" s="221">
        <v>12350</v>
      </c>
      <c r="D96" s="220">
        <v>12350</v>
      </c>
      <c r="E96" s="221">
        <v>12350</v>
      </c>
      <c r="F96" s="221">
        <v>12350</v>
      </c>
      <c r="G96" s="238">
        <v>12350</v>
      </c>
    </row>
    <row r="97" spans="1:7" x14ac:dyDescent="0.3">
      <c r="A97" s="239" t="s">
        <v>444</v>
      </c>
      <c r="B97" s="180"/>
      <c r="C97" s="197">
        <v>0</v>
      </c>
      <c r="D97" s="197">
        <v>0</v>
      </c>
      <c r="E97" s="197">
        <v>0</v>
      </c>
      <c r="F97" s="197">
        <v>0</v>
      </c>
      <c r="G97" s="197">
        <v>0</v>
      </c>
    </row>
  </sheetData>
  <mergeCells count="7">
    <mergeCell ref="A48:G48"/>
    <mergeCell ref="A64:G64"/>
    <mergeCell ref="H48:N48"/>
    <mergeCell ref="H64:N64"/>
    <mergeCell ref="D1:G1"/>
    <mergeCell ref="A27:G27"/>
    <mergeCell ref="H27:N27"/>
  </mergeCells>
  <phoneticPr fontId="78" type="noConversion"/>
  <hyperlinks>
    <hyperlink ref="E2" location="revenue!A7" display="notes to accounts" xr:uid="{1189627B-70FD-41B8-82A2-BCBBE0BFB9FF}"/>
    <hyperlink ref="E3" location="revenue!A27" display="segment wise estimation" xr:uid="{6133F219-A93A-4B60-A0C2-CAECB6BDFE25}"/>
    <hyperlink ref="E4" location="revenue!A79" display="expected revenue" xr:uid="{D07968CC-3BBC-4CCE-BEB0-F5EB91D07D52}"/>
    <hyperlink ref="E5" location="revenue!A95" display="other income" xr:uid="{3680CCB4-B8FC-4BCA-853F-93F20186D882}"/>
  </hyperlinks>
  <pageMargins left="0.7" right="0.7" top="0.75" bottom="0.75" header="0.3" footer="0.3"/>
  <pageSetup orientation="portrait" r:id="rId1"/>
  <drawing r:id="rId2"/>
  <tableParts count="8">
    <tablePart r:id="rId3"/>
    <tablePart r:id="rId4"/>
    <tablePart r:id="rId5"/>
    <tablePart r:id="rId6"/>
    <tablePart r:id="rId7"/>
    <tablePart r:id="rId8"/>
    <tablePart r:id="rId9"/>
    <tablePart r:id="rId10"/>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E5592-7A9C-40DD-A338-956285106983}">
  <dimension ref="A1:L29"/>
  <sheetViews>
    <sheetView workbookViewId="0">
      <selection sqref="A1:L21"/>
    </sheetView>
  </sheetViews>
  <sheetFormatPr defaultRowHeight="14.4" x14ac:dyDescent="0.3"/>
  <cols>
    <col min="1" max="1" width="25.88671875" bestFit="1" customWidth="1"/>
    <col min="2" max="2" width="10.109375" customWidth="1"/>
    <col min="3" max="3" width="10.88671875" customWidth="1"/>
    <col min="4" max="7" width="10.109375" customWidth="1"/>
    <col min="8" max="12" width="10.5546875" customWidth="1"/>
  </cols>
  <sheetData>
    <row r="1" spans="1:12" x14ac:dyDescent="0.3">
      <c r="A1" t="s">
        <v>498</v>
      </c>
      <c r="B1" t="s">
        <v>313</v>
      </c>
      <c r="C1" t="s">
        <v>114</v>
      </c>
      <c r="D1" t="s">
        <v>115</v>
      </c>
      <c r="E1" t="s">
        <v>116</v>
      </c>
      <c r="F1" t="s">
        <v>117</v>
      </c>
      <c r="G1" t="s">
        <v>449</v>
      </c>
      <c r="H1" t="s">
        <v>439</v>
      </c>
      <c r="I1" t="s">
        <v>440</v>
      </c>
      <c r="J1" t="s">
        <v>441</v>
      </c>
      <c r="K1" t="s">
        <v>442</v>
      </c>
      <c r="L1" t="s">
        <v>443</v>
      </c>
    </row>
    <row r="2" spans="1:12" x14ac:dyDescent="0.3">
      <c r="A2" t="str">
        <f>profitloss!A7</f>
        <v>REVENUE FROM OPERATIONS</v>
      </c>
      <c r="C2">
        <f>profitloss!C7</f>
        <v>583094</v>
      </c>
      <c r="D2">
        <f>profitloss!D7</f>
        <v>612437</v>
      </c>
      <c r="E2">
        <f>profitloss!E7</f>
        <v>486326</v>
      </c>
      <c r="F2">
        <f>profitloss!F7</f>
        <v>721634</v>
      </c>
      <c r="H2">
        <f>Table18[[#Totals],[2022-23E]]</f>
        <v>833939.73</v>
      </c>
      <c r="I2">
        <f>Table18[[#Totals],[2023-24E]]</f>
        <v>955367.74090000009</v>
      </c>
      <c r="J2">
        <f>Table18[[#Totals],[2024-25E]]</f>
        <v>1097887.7270220001</v>
      </c>
      <c r="K2">
        <f>Table18[[#Totals],[2025-26E]]</f>
        <v>1265714.4507231254</v>
      </c>
      <c r="L2">
        <f>Table18[[#Totals],[2026-27E]]</f>
        <v>1463980.5981208044</v>
      </c>
    </row>
    <row r="3" spans="1:12" x14ac:dyDescent="0.3">
      <c r="A3" t="s">
        <v>499</v>
      </c>
      <c r="E3">
        <v>6808</v>
      </c>
      <c r="F3">
        <v>4043</v>
      </c>
      <c r="H3">
        <v>5250</v>
      </c>
      <c r="I3">
        <v>5250</v>
      </c>
      <c r="J3">
        <v>5250</v>
      </c>
      <c r="K3">
        <v>5250</v>
      </c>
      <c r="L3">
        <v>5250</v>
      </c>
    </row>
    <row r="4" spans="1:12" x14ac:dyDescent="0.3">
      <c r="A4" t="s">
        <v>497</v>
      </c>
    </row>
    <row r="5" spans="1:12" x14ac:dyDescent="0.3">
      <c r="A5" t="str">
        <f>profitloss!A11</f>
        <v>Cost of Material Consumed</v>
      </c>
      <c r="B5" t="str">
        <f>profitloss!B11</f>
        <v/>
      </c>
      <c r="C5" s="251">
        <f>profitloss!C11</f>
        <v>275237</v>
      </c>
      <c r="D5">
        <f>profitloss!D11</f>
        <v>260621</v>
      </c>
      <c r="E5">
        <f>profitloss!E11</f>
        <v>199915</v>
      </c>
      <c r="F5">
        <f>profitloss!F11</f>
        <v>360784</v>
      </c>
      <c r="H5">
        <f>H2*H6</f>
        <v>375272.87849999999</v>
      </c>
      <c r="I5">
        <f t="shared" ref="I5:L5" si="0">I2*I6</f>
        <v>429915.48340500006</v>
      </c>
      <c r="J5">
        <f t="shared" si="0"/>
        <v>494049.47715990007</v>
      </c>
      <c r="K5">
        <f t="shared" si="0"/>
        <v>569571.50282540638</v>
      </c>
      <c r="L5">
        <f t="shared" si="0"/>
        <v>658791.26915436203</v>
      </c>
    </row>
    <row r="6" spans="1:12" x14ac:dyDescent="0.3">
      <c r="A6" s="187" t="str">
        <f xml:space="preserve"> "% of sales" &amp; A5</f>
        <v>% of salesCost of Material Consumed</v>
      </c>
      <c r="B6" s="187"/>
      <c r="C6" s="188">
        <f>C5/$C$2</f>
        <v>0.4720285237028678</v>
      </c>
      <c r="D6" s="188">
        <f>D5/$D$2</f>
        <v>0.42554744406363432</v>
      </c>
      <c r="E6" s="188">
        <f>E5/$E$2</f>
        <v>0.41107199697322372</v>
      </c>
      <c r="F6" s="188">
        <f>F5/$F$2</f>
        <v>0.49995427044734586</v>
      </c>
      <c r="H6" s="260">
        <v>0.45</v>
      </c>
      <c r="I6" s="260">
        <v>0.45</v>
      </c>
      <c r="J6" s="260">
        <v>0.45</v>
      </c>
      <c r="K6" s="260">
        <v>0.45</v>
      </c>
      <c r="L6" s="260">
        <v>0.45</v>
      </c>
    </row>
    <row r="7" spans="1:12" x14ac:dyDescent="0.3">
      <c r="A7" t="str">
        <f>profitloss!A12</f>
        <v>Purchase of Stock-in-Trade</v>
      </c>
      <c r="B7" t="str">
        <f>profitloss!B12</f>
        <v/>
      </c>
      <c r="C7" s="251">
        <f>profitloss!C12</f>
        <v>123930</v>
      </c>
      <c r="D7">
        <f>profitloss!D12</f>
        <v>149667</v>
      </c>
      <c r="E7">
        <f>profitloss!E12</f>
        <v>101850</v>
      </c>
      <c r="F7">
        <f>profitloss!F12</f>
        <v>135585</v>
      </c>
      <c r="H7">
        <f>H2*H8</f>
        <v>183466.74059999999</v>
      </c>
      <c r="I7">
        <f t="shared" ref="I7:L7" si="1">I2*I8</f>
        <v>210180.90299800003</v>
      </c>
      <c r="J7">
        <f t="shared" si="1"/>
        <v>241535.29994484002</v>
      </c>
      <c r="K7">
        <f t="shared" si="1"/>
        <v>278457.17915908759</v>
      </c>
      <c r="L7">
        <f t="shared" si="1"/>
        <v>322075.73158657696</v>
      </c>
    </row>
    <row r="8" spans="1:12" x14ac:dyDescent="0.3">
      <c r="A8" s="187" t="str">
        <f xml:space="preserve"> "% of sales" &amp; A7</f>
        <v>% of salesPurchase of Stock-in-Trade</v>
      </c>
      <c r="B8" s="187"/>
      <c r="C8" s="188">
        <f>C7/$C$2</f>
        <v>0.21253863013510685</v>
      </c>
      <c r="D8" s="188">
        <f>D7/$D$2</f>
        <v>0.24437942188339373</v>
      </c>
      <c r="E8" s="188">
        <f>E7/$E$2</f>
        <v>0.20942742111258703</v>
      </c>
      <c r="F8" s="188">
        <f>F7/$F$2</f>
        <v>0.18788610292752281</v>
      </c>
      <c r="H8" s="260">
        <v>0.22</v>
      </c>
      <c r="I8" s="260">
        <v>0.22</v>
      </c>
      <c r="J8" s="260">
        <v>0.22</v>
      </c>
      <c r="K8" s="260">
        <v>0.22</v>
      </c>
      <c r="L8" s="260">
        <v>0.22</v>
      </c>
    </row>
    <row r="9" spans="1:12" ht="16.8" customHeight="1" x14ac:dyDescent="0.3">
      <c r="A9" t="str">
        <f>profitloss!A13</f>
        <v>Changes in Inventories of Finished Goods, Work-in-Progress and Stock-in-Trade</v>
      </c>
      <c r="C9" s="251">
        <f>profitloss!C13</f>
        <v>-4680</v>
      </c>
      <c r="D9">
        <f>profitloss!D13</f>
        <v>-5048</v>
      </c>
      <c r="E9">
        <f>profitloss!E13</f>
        <v>-9064</v>
      </c>
      <c r="F9">
        <f>profitloss!F13</f>
        <v>-21457</v>
      </c>
      <c r="H9">
        <v>-24540</v>
      </c>
      <c r="I9">
        <v>-18570</v>
      </c>
      <c r="J9">
        <v>-18540</v>
      </c>
      <c r="K9">
        <v>-17450</v>
      </c>
      <c r="L9">
        <v>-14850</v>
      </c>
    </row>
    <row r="10" spans="1:12" ht="16.8" customHeight="1" x14ac:dyDescent="0.3">
      <c r="C10" s="251"/>
    </row>
    <row r="11" spans="1:12" x14ac:dyDescent="0.3">
      <c r="A11" t="str">
        <f>profitloss!A14</f>
        <v>Excise Duty</v>
      </c>
      <c r="C11" s="251">
        <f>profitloss!C14</f>
        <v>13885</v>
      </c>
      <c r="D11">
        <f>profitloss!D14</f>
        <v>14902</v>
      </c>
      <c r="E11">
        <f>profitloss!E14</f>
        <v>19402</v>
      </c>
      <c r="F11">
        <f>profitloss!F14</f>
        <v>21672</v>
      </c>
      <c r="H11">
        <f>H2*H12</f>
        <v>20848.49325</v>
      </c>
      <c r="I11">
        <f t="shared" ref="I11:L11" si="2">I2*I12</f>
        <v>23884.193522500005</v>
      </c>
      <c r="J11">
        <f t="shared" si="2"/>
        <v>27447.193175550005</v>
      </c>
      <c r="K11">
        <f t="shared" si="2"/>
        <v>31642.861268078137</v>
      </c>
      <c r="L11">
        <f t="shared" si="2"/>
        <v>36599.514953020109</v>
      </c>
    </row>
    <row r="12" spans="1:12" x14ac:dyDescent="0.3">
      <c r="A12" s="187" t="str">
        <f xml:space="preserve"> "% of sales" &amp; A11</f>
        <v>% of salesExcise Duty</v>
      </c>
      <c r="B12" s="187"/>
      <c r="C12" s="188">
        <f>C11/$C$2</f>
        <v>2.3812627123585561E-2</v>
      </c>
      <c r="D12" s="188">
        <f>D11/$D$2</f>
        <v>2.4332298669087597E-2</v>
      </c>
      <c r="E12" s="188">
        <f>E11/$E$2</f>
        <v>3.9895049822547018E-2</v>
      </c>
      <c r="F12" s="188">
        <f>F11/$F$2</f>
        <v>3.0031844397575502E-2</v>
      </c>
      <c r="H12" s="261">
        <v>2.5000000000000001E-2</v>
      </c>
      <c r="I12" s="261">
        <v>2.5000000000000001E-2</v>
      </c>
      <c r="J12" s="261">
        <v>2.5000000000000001E-2</v>
      </c>
      <c r="K12" s="261">
        <v>2.5000000000000001E-2</v>
      </c>
      <c r="L12" s="261">
        <v>2.5000000000000001E-2</v>
      </c>
    </row>
    <row r="13" spans="1:12" x14ac:dyDescent="0.3">
      <c r="A13" t="str">
        <f>profitloss!A15</f>
        <v>Employee Benefits Expense</v>
      </c>
      <c r="C13" s="251">
        <f>profitloss!C15</f>
        <v>12488</v>
      </c>
      <c r="D13">
        <f>profitloss!D15</f>
        <v>14075</v>
      </c>
      <c r="E13">
        <f>profitloss!E15</f>
        <v>14817</v>
      </c>
      <c r="F13">
        <f>profitloss!F15</f>
        <v>18775</v>
      </c>
      <c r="H13">
        <f>H14*H2</f>
        <v>25018.191899999998</v>
      </c>
      <c r="I13">
        <f t="shared" ref="I13:L13" si="3">I14*I2</f>
        <v>28661.032227000003</v>
      </c>
      <c r="J13">
        <f t="shared" si="3"/>
        <v>32936.631810660001</v>
      </c>
      <c r="K13">
        <f t="shared" si="3"/>
        <v>37971.433521693762</v>
      </c>
      <c r="L13">
        <f t="shared" si="3"/>
        <v>43919.417943624132</v>
      </c>
    </row>
    <row r="14" spans="1:12" x14ac:dyDescent="0.3">
      <c r="A14" s="187" t="str">
        <f xml:space="preserve"> "% of sales" &amp; A13</f>
        <v>% of salesEmployee Benefits Expense</v>
      </c>
      <c r="C14" s="188">
        <f>C13/$C$2</f>
        <v>2.1416787001752719E-2</v>
      </c>
      <c r="D14" s="188">
        <f>D13/$D$2</f>
        <v>2.2981955695034754E-2</v>
      </c>
      <c r="E14" s="188">
        <f>E13/$E$2</f>
        <v>3.0467217463183132E-2</v>
      </c>
      <c r="F14" s="188">
        <f>F13/$F$2</f>
        <v>2.601734397215209E-2</v>
      </c>
      <c r="G14" s="187"/>
      <c r="H14" s="260">
        <v>0.03</v>
      </c>
      <c r="I14" s="260">
        <v>0.03</v>
      </c>
      <c r="J14" s="260">
        <v>0.03</v>
      </c>
      <c r="K14" s="260">
        <v>0.03</v>
      </c>
      <c r="L14" s="260">
        <v>0.03</v>
      </c>
    </row>
    <row r="15" spans="1:12" x14ac:dyDescent="0.3">
      <c r="A15" t="str">
        <f>profitloss!A17</f>
        <v>Depreciation/Amortisation and Depletion Expense</v>
      </c>
      <c r="B15" t="str">
        <f>profitloss!B17</f>
        <v>1</v>
      </c>
      <c r="C15" s="251">
        <f>profitloss!C17</f>
        <v>20934</v>
      </c>
      <c r="D15">
        <f>profitloss!D17</f>
        <v>22203</v>
      </c>
      <c r="E15">
        <f>profitloss!E17</f>
        <v>26572</v>
      </c>
      <c r="F15">
        <f>profitloss!F17</f>
        <v>29797</v>
      </c>
      <c r="H15" s="244">
        <f>PPE!H85</f>
        <v>35113.251789473688</v>
      </c>
      <c r="I15" s="244">
        <f>PPE!I85</f>
        <v>36394.961558095238</v>
      </c>
      <c r="J15" s="244">
        <f>PPE!J85</f>
        <v>38187.399200765227</v>
      </c>
      <c r="K15" s="244">
        <f>PPE!K85</f>
        <v>40502.86242314001</v>
      </c>
      <c r="L15" s="244">
        <f>PPE!L85</f>
        <v>43377.202907283092</v>
      </c>
    </row>
    <row r="16" spans="1:12" x14ac:dyDescent="0.3">
      <c r="A16" t="str">
        <f>profitloss!A18</f>
        <v>Other Expenses</v>
      </c>
      <c r="C16" s="251">
        <f>profitloss!C18</f>
        <v>78067</v>
      </c>
      <c r="D16">
        <f>profitloss!D18</f>
        <v>89211</v>
      </c>
      <c r="E16">
        <f>profitloss!E18</f>
        <v>78669</v>
      </c>
      <c r="F16">
        <f>profitloss!F18</f>
        <v>95815</v>
      </c>
      <c r="H16" s="244">
        <f>H21</f>
        <v>123307.40636052622</v>
      </c>
      <c r="I16" s="244">
        <f t="shared" ref="I16:L16" si="4">I21</f>
        <v>134877.03828140488</v>
      </c>
      <c r="J16" s="244">
        <f t="shared" si="4"/>
        <v>155145.1984876449</v>
      </c>
      <c r="K16" s="244">
        <f t="shared" si="4"/>
        <v>177752.87743894453</v>
      </c>
      <c r="L16" s="244">
        <f t="shared" si="4"/>
        <v>203009.78980144137</v>
      </c>
    </row>
    <row r="17" spans="1:12" x14ac:dyDescent="0.3">
      <c r="A17" t="s">
        <v>502</v>
      </c>
      <c r="F17" s="244">
        <f>F5+F7+F11+F13+F15+F9+F16</f>
        <v>640971</v>
      </c>
      <c r="H17" s="244">
        <f>H5+H7+H9+H11+H13+H15</f>
        <v>615179.55603947374</v>
      </c>
      <c r="I17" s="244">
        <f t="shared" ref="I17:L17" si="5">I5+I7+I9+I11+I13+I15</f>
        <v>710466.57371059526</v>
      </c>
      <c r="J17" s="244">
        <f t="shared" si="5"/>
        <v>815616.00129171519</v>
      </c>
      <c r="K17" s="244">
        <f t="shared" si="5"/>
        <v>940695.83919740585</v>
      </c>
      <c r="L17" s="244">
        <f t="shared" si="5"/>
        <v>1089913.1365448665</v>
      </c>
    </row>
    <row r="18" spans="1:12" x14ac:dyDescent="0.3">
      <c r="A18" s="262" t="s">
        <v>488</v>
      </c>
      <c r="F18" s="244">
        <f>+F2+F3-F17</f>
        <v>84706</v>
      </c>
      <c r="G18" s="263">
        <v>0.12</v>
      </c>
      <c r="H18">
        <f>(H3+H2)*$G$18</f>
        <v>100702.76759999999</v>
      </c>
      <c r="I18">
        <f t="shared" ref="I18:L18" si="6">(I3+I2)*$G$18</f>
        <v>115274.12890800001</v>
      </c>
      <c r="J18">
        <f t="shared" si="6"/>
        <v>132376.52724264</v>
      </c>
      <c r="K18">
        <f t="shared" si="6"/>
        <v>152515.73408677505</v>
      </c>
      <c r="L18">
        <f t="shared" si="6"/>
        <v>176307.67177449653</v>
      </c>
    </row>
    <row r="20" spans="1:12" x14ac:dyDescent="0.3">
      <c r="A20" t="s">
        <v>503</v>
      </c>
      <c r="H20">
        <f>H2+H3-H18</f>
        <v>738486.96239999996</v>
      </c>
      <c r="I20">
        <f t="shared" ref="I20:L20" si="7">I2+I3-I18</f>
        <v>845343.61199200014</v>
      </c>
      <c r="J20">
        <f t="shared" si="7"/>
        <v>970761.19977936009</v>
      </c>
      <c r="K20">
        <f t="shared" si="7"/>
        <v>1118448.7166363504</v>
      </c>
      <c r="L20">
        <f t="shared" si="7"/>
        <v>1292922.9263463079</v>
      </c>
    </row>
    <row r="21" spans="1:12" x14ac:dyDescent="0.3">
      <c r="A21" t="s">
        <v>504</v>
      </c>
      <c r="H21" s="244">
        <f>H20-H17</f>
        <v>123307.40636052622</v>
      </c>
      <c r="I21" s="244">
        <f t="shared" ref="I21:L21" si="8">I20-I17</f>
        <v>134877.03828140488</v>
      </c>
      <c r="J21" s="244">
        <f t="shared" si="8"/>
        <v>155145.1984876449</v>
      </c>
      <c r="K21" s="244">
        <f t="shared" si="8"/>
        <v>177752.87743894453</v>
      </c>
      <c r="L21" s="244">
        <f t="shared" si="8"/>
        <v>203009.78980144137</v>
      </c>
    </row>
    <row r="22" spans="1:12" x14ac:dyDescent="0.3">
      <c r="H22" s="244"/>
    </row>
    <row r="23" spans="1:12" x14ac:dyDescent="0.3">
      <c r="A23" t="s">
        <v>313</v>
      </c>
      <c r="B23" t="s">
        <v>449</v>
      </c>
      <c r="C23" t="s">
        <v>450</v>
      </c>
      <c r="D23" t="s">
        <v>364</v>
      </c>
      <c r="E23" t="s">
        <v>451</v>
      </c>
      <c r="F23" t="s">
        <v>366</v>
      </c>
      <c r="G23" t="s">
        <v>557</v>
      </c>
      <c r="H23" s="244"/>
    </row>
    <row r="24" spans="1:12" x14ac:dyDescent="0.3">
      <c r="A24" t="s">
        <v>523</v>
      </c>
    </row>
    <row r="25" spans="1:12" x14ac:dyDescent="0.3">
      <c r="A25" t="str">
        <f>+Table_0__2[[#This Row],[PROFIT/LOSS]]</f>
        <v>TAX EXPENSES</v>
      </c>
      <c r="B25">
        <f>+Table_0__2[[#This Row],[Notes]]</f>
        <v>0</v>
      </c>
      <c r="C25">
        <f>+Table_0__2[[#This Row],[2018-19]]</f>
        <v>0</v>
      </c>
      <c r="D25" s="180">
        <f>profitloss!D24</f>
        <v>53606</v>
      </c>
      <c r="E25" s="180">
        <f>profitloss!E24</f>
        <v>55461</v>
      </c>
      <c r="F25" s="180">
        <f>profitloss!F24</f>
        <v>84142</v>
      </c>
    </row>
    <row r="26" spans="1:12" x14ac:dyDescent="0.3">
      <c r="A26" t="s">
        <v>523</v>
      </c>
      <c r="C26">
        <f>SUM(profitloss!C26:C27)</f>
        <v>15390</v>
      </c>
      <c r="D26">
        <f>SUM(profitloss!D26:D27)</f>
        <v>13726</v>
      </c>
      <c r="E26">
        <f>SUM(profitloss!E26:E27)</f>
        <v>1722</v>
      </c>
      <c r="F26">
        <f>SUM(profitloss!F26:F27)</f>
        <v>16297</v>
      </c>
      <c r="G26">
        <f>SUM(profitloss!G26:G27)</f>
        <v>18691.3754606742</v>
      </c>
    </row>
    <row r="28" spans="1:12" x14ac:dyDescent="0.3">
      <c r="C28" s="182" t="e">
        <f>C26/C25</f>
        <v>#DIV/0!</v>
      </c>
      <c r="D28" s="182">
        <f t="shared" ref="D28:F28" si="9">D26/D25</f>
        <v>0.25605342685520277</v>
      </c>
      <c r="E28" s="182">
        <f t="shared" si="9"/>
        <v>3.104884513441878E-2</v>
      </c>
      <c r="F28" s="182">
        <f t="shared" si="9"/>
        <v>0.1936844857502793</v>
      </c>
    </row>
    <row r="29" spans="1:12" x14ac:dyDescent="0.3">
      <c r="A29" t="s">
        <v>524</v>
      </c>
      <c r="B29" s="189">
        <v>0.25</v>
      </c>
    </row>
  </sheetData>
  <pageMargins left="0.7" right="0.7" top="0.75" bottom="0.75" header="0.3" footer="0.3"/>
  <pageSetup orientation="portrait"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28A89-79CC-4F30-BAE7-813DD82AE52C}">
  <dimension ref="A1:U53"/>
  <sheetViews>
    <sheetView topLeftCell="C34" workbookViewId="0">
      <selection activeCell="L50" sqref="L50"/>
    </sheetView>
  </sheetViews>
  <sheetFormatPr defaultRowHeight="14.4" x14ac:dyDescent="0.3"/>
  <cols>
    <col min="1" max="1" width="32.109375" style="120" bestFit="1" customWidth="1"/>
    <col min="2" max="2" width="10.44140625" style="120" customWidth="1"/>
    <col min="3" max="3" width="9" style="120" bestFit="1" customWidth="1"/>
    <col min="4" max="4" width="11.44140625" style="120" customWidth="1"/>
    <col min="5" max="5" width="9" style="120" bestFit="1" customWidth="1"/>
    <col min="6" max="6" width="9.77734375" style="120" customWidth="1"/>
    <col min="7" max="7" width="10.77734375" style="120" customWidth="1"/>
    <col min="8" max="8" width="9" style="120" bestFit="1" customWidth="1"/>
    <col min="9" max="9" width="12.77734375" style="120" customWidth="1"/>
    <col min="10" max="10" width="9" style="133" bestFit="1" customWidth="1"/>
    <col min="11" max="11" width="9" style="133" customWidth="1"/>
    <col min="12" max="12" width="9.33203125" style="120" customWidth="1"/>
    <col min="13" max="13" width="10.109375" style="120" customWidth="1"/>
    <col min="14" max="14" width="9" style="120" customWidth="1"/>
    <col min="15" max="15" width="11.44140625" style="120" customWidth="1"/>
    <col min="16" max="16" width="10.77734375" style="120" customWidth="1"/>
    <col min="17" max="17" width="9.5546875" style="120" customWidth="1"/>
    <col min="18" max="18" width="13.77734375" style="120" customWidth="1"/>
    <col min="19" max="19" width="9.21875" style="133" customWidth="1"/>
    <col min="20" max="20" width="12.44140625" style="120" customWidth="1"/>
    <col min="21" max="16384" width="8.88671875" style="120"/>
  </cols>
  <sheetData>
    <row r="1" spans="1:19" x14ac:dyDescent="0.3">
      <c r="A1" s="162" t="s">
        <v>116</v>
      </c>
      <c r="B1" s="162" t="s">
        <v>313</v>
      </c>
      <c r="C1" s="162" t="s">
        <v>196</v>
      </c>
      <c r="D1" s="162" t="s">
        <v>336</v>
      </c>
      <c r="E1" s="162" t="s">
        <v>195</v>
      </c>
      <c r="F1" s="162" t="s">
        <v>337</v>
      </c>
      <c r="G1" s="162" t="s">
        <v>353</v>
      </c>
      <c r="H1" s="162" t="s">
        <v>82</v>
      </c>
      <c r="I1" s="162" t="s">
        <v>338</v>
      </c>
      <c r="J1" s="163" t="s">
        <v>95</v>
      </c>
      <c r="K1" s="162" t="s">
        <v>449</v>
      </c>
      <c r="L1" s="162" t="s">
        <v>354</v>
      </c>
      <c r="M1" s="162" t="s">
        <v>355</v>
      </c>
      <c r="N1" s="162" t="s">
        <v>356</v>
      </c>
      <c r="O1" s="162" t="s">
        <v>357</v>
      </c>
      <c r="P1" s="162" t="s">
        <v>358</v>
      </c>
      <c r="Q1" s="162" t="s">
        <v>359</v>
      </c>
      <c r="R1" s="162" t="s">
        <v>360</v>
      </c>
      <c r="S1" s="163" t="s">
        <v>361</v>
      </c>
    </row>
    <row r="2" spans="1:19" x14ac:dyDescent="0.3">
      <c r="A2" s="76"/>
      <c r="B2" s="76"/>
      <c r="C2" s="76"/>
      <c r="D2" s="76"/>
      <c r="E2" s="76"/>
      <c r="F2" s="76"/>
      <c r="G2" s="76"/>
      <c r="H2" s="76"/>
      <c r="I2" s="76"/>
      <c r="J2" s="108"/>
      <c r="K2" s="249"/>
    </row>
    <row r="3" spans="1:19" x14ac:dyDescent="0.3">
      <c r="A3" s="76" t="s">
        <v>197</v>
      </c>
      <c r="B3" s="76"/>
      <c r="C3" s="76"/>
      <c r="D3" s="76"/>
      <c r="E3" s="76"/>
      <c r="F3" s="76"/>
      <c r="G3" s="76"/>
      <c r="H3" s="76"/>
      <c r="I3" s="76"/>
      <c r="J3" s="108"/>
      <c r="K3" s="249"/>
    </row>
    <row r="4" spans="1:19" x14ac:dyDescent="0.3">
      <c r="A4" s="76" t="s">
        <v>198</v>
      </c>
      <c r="B4" s="76"/>
      <c r="C4" s="77">
        <v>315105</v>
      </c>
      <c r="D4" s="77">
        <v>1608</v>
      </c>
      <c r="E4" s="77">
        <v>152501</v>
      </c>
      <c r="F4" s="77">
        <v>27336</v>
      </c>
      <c r="G4" s="77">
        <v>1114</v>
      </c>
      <c r="H4" s="77">
        <v>41574</v>
      </c>
      <c r="I4" s="76" t="s">
        <v>84</v>
      </c>
      <c r="J4" s="109">
        <v>539238</v>
      </c>
      <c r="K4" s="79"/>
      <c r="L4" s="158">
        <v>499663</v>
      </c>
      <c r="M4" s="158">
        <v>4962</v>
      </c>
      <c r="N4" s="158">
        <v>195676</v>
      </c>
      <c r="O4" s="158">
        <v>27085</v>
      </c>
      <c r="P4" s="159">
        <v>761</v>
      </c>
      <c r="Q4" s="158">
        <v>64609</v>
      </c>
      <c r="R4" s="159" t="s">
        <v>84</v>
      </c>
      <c r="S4" s="160">
        <v>792756</v>
      </c>
    </row>
    <row r="5" spans="1:19" x14ac:dyDescent="0.3">
      <c r="A5" s="76" t="s">
        <v>199</v>
      </c>
      <c r="B5" s="76"/>
      <c r="C5" s="77">
        <v>4903</v>
      </c>
      <c r="D5" s="76">
        <v>532</v>
      </c>
      <c r="E5" s="77">
        <v>5201</v>
      </c>
      <c r="F5" s="77">
        <v>62951</v>
      </c>
      <c r="G5" s="77">
        <v>1324</v>
      </c>
      <c r="H5" s="77">
        <v>6646</v>
      </c>
      <c r="I5" s="76" t="s">
        <v>84</v>
      </c>
      <c r="J5" s="108"/>
      <c r="K5" s="78"/>
      <c r="L5" s="158">
        <v>1237</v>
      </c>
      <c r="M5" s="158">
        <v>2530</v>
      </c>
      <c r="N5" s="158">
        <v>4073</v>
      </c>
      <c r="O5" s="158">
        <v>73076</v>
      </c>
      <c r="P5" s="158">
        <v>1366</v>
      </c>
      <c r="Q5" s="158">
        <v>6751</v>
      </c>
      <c r="R5" s="159" t="s">
        <v>84</v>
      </c>
      <c r="S5" s="161" t="s">
        <v>84</v>
      </c>
    </row>
    <row r="6" spans="1:19" x14ac:dyDescent="0.3">
      <c r="A6" s="76"/>
      <c r="B6" s="76"/>
      <c r="C6" s="76"/>
      <c r="D6" s="76"/>
      <c r="E6" s="76"/>
      <c r="F6" s="76"/>
      <c r="G6" s="76"/>
      <c r="H6" s="76"/>
      <c r="I6" s="76"/>
      <c r="J6" s="108"/>
      <c r="K6" s="249"/>
    </row>
    <row r="7" spans="1:19" x14ac:dyDescent="0.3">
      <c r="A7" s="76" t="s">
        <v>200</v>
      </c>
      <c r="B7" s="76"/>
      <c r="C7" s="77">
        <v>320008</v>
      </c>
      <c r="D7" s="77">
        <v>2140</v>
      </c>
      <c r="E7" s="77">
        <v>157702</v>
      </c>
      <c r="F7" s="77">
        <v>90287</v>
      </c>
      <c r="G7" s="77">
        <v>2438</v>
      </c>
      <c r="H7" s="77">
        <v>48220</v>
      </c>
      <c r="I7" s="76" t="s">
        <v>84</v>
      </c>
      <c r="J7" s="109">
        <v>539238</v>
      </c>
      <c r="K7" s="79"/>
      <c r="L7" s="158">
        <v>500900</v>
      </c>
      <c r="M7" s="158">
        <v>7492</v>
      </c>
      <c r="N7" s="158">
        <v>199749</v>
      </c>
      <c r="O7" s="158">
        <v>100161</v>
      </c>
      <c r="P7" s="158">
        <v>2127</v>
      </c>
      <c r="Q7" s="158">
        <v>71360</v>
      </c>
      <c r="R7" s="159" t="s">
        <v>84</v>
      </c>
      <c r="S7" s="160">
        <v>792756</v>
      </c>
    </row>
    <row r="8" spans="1:19" x14ac:dyDescent="0.3">
      <c r="A8" s="76"/>
      <c r="B8" s="76"/>
      <c r="C8" s="76"/>
      <c r="D8" s="76"/>
      <c r="E8" s="76"/>
      <c r="F8" s="76"/>
      <c r="G8" s="76"/>
      <c r="H8" s="76"/>
      <c r="I8" s="76"/>
      <c r="J8" s="108"/>
      <c r="K8" s="249"/>
    </row>
    <row r="9" spans="1:19" x14ac:dyDescent="0.3">
      <c r="A9" s="76" t="s">
        <v>124</v>
      </c>
      <c r="B9" s="76"/>
      <c r="C9" s="77">
        <v>13518</v>
      </c>
      <c r="D9" s="76">
        <v>12</v>
      </c>
      <c r="E9" s="77">
        <v>18566</v>
      </c>
      <c r="F9" s="77">
        <v>13645</v>
      </c>
      <c r="G9" s="76">
        <v>5</v>
      </c>
      <c r="H9" s="77">
        <v>7166</v>
      </c>
      <c r="I9" s="76"/>
      <c r="J9" s="109">
        <v>52912</v>
      </c>
      <c r="K9" s="79"/>
      <c r="L9" s="77">
        <v>20580</v>
      </c>
      <c r="M9" s="76">
        <v>10</v>
      </c>
      <c r="N9" s="77">
        <v>24734</v>
      </c>
      <c r="O9" s="77">
        <v>15044</v>
      </c>
      <c r="P9" s="76">
        <v>13</v>
      </c>
      <c r="Q9" s="77">
        <v>10741</v>
      </c>
      <c r="R9" s="76" t="s">
        <v>84</v>
      </c>
      <c r="S9" s="79">
        <v>71122</v>
      </c>
    </row>
    <row r="10" spans="1:19" x14ac:dyDescent="0.3">
      <c r="A10" s="76" t="s">
        <v>201</v>
      </c>
      <c r="B10" s="76"/>
      <c r="C10" s="77">
        <v>306490</v>
      </c>
      <c r="D10" s="77">
        <v>2128</v>
      </c>
      <c r="E10" s="77">
        <v>139136</v>
      </c>
      <c r="F10" s="77">
        <v>76642</v>
      </c>
      <c r="G10" s="77">
        <v>2433</v>
      </c>
      <c r="H10" s="77">
        <v>41054</v>
      </c>
      <c r="I10" s="76" t="s">
        <v>84</v>
      </c>
      <c r="J10" s="109">
        <v>486326</v>
      </c>
      <c r="K10" s="79"/>
      <c r="L10" s="77">
        <v>480320</v>
      </c>
      <c r="M10" s="77">
        <v>7482</v>
      </c>
      <c r="N10" s="77">
        <v>175015</v>
      </c>
      <c r="O10" s="77">
        <v>85117</v>
      </c>
      <c r="P10" s="77">
        <v>2114</v>
      </c>
      <c r="Q10" s="77">
        <v>60619</v>
      </c>
      <c r="R10" s="76" t="s">
        <v>84</v>
      </c>
      <c r="S10" s="79">
        <v>721634</v>
      </c>
    </row>
    <row r="11" spans="1:19" x14ac:dyDescent="0.3">
      <c r="A11" s="76"/>
      <c r="B11" s="76"/>
      <c r="C11" s="76"/>
      <c r="D11" s="76"/>
      <c r="E11" s="76"/>
      <c r="F11" s="76"/>
      <c r="G11" s="76"/>
      <c r="H11" s="76"/>
      <c r="I11" s="76"/>
      <c r="J11" s="108"/>
      <c r="K11" s="249"/>
    </row>
    <row r="12" spans="1:19" x14ac:dyDescent="0.3">
      <c r="A12" s="76" t="s">
        <v>339</v>
      </c>
      <c r="B12" s="76"/>
      <c r="C12" s="77">
        <v>29773</v>
      </c>
      <c r="D12" s="77">
        <v>-1477</v>
      </c>
      <c r="E12" s="77">
        <v>7991</v>
      </c>
      <c r="F12" s="77">
        <v>21181</v>
      </c>
      <c r="G12" s="77">
        <v>1294</v>
      </c>
      <c r="H12" s="77">
        <v>3635</v>
      </c>
      <c r="I12" s="77">
        <v>-1070</v>
      </c>
      <c r="J12" s="109">
        <v>61327</v>
      </c>
      <c r="K12" s="79"/>
      <c r="L12" s="77">
        <v>45194</v>
      </c>
      <c r="M12" s="77">
        <v>2879</v>
      </c>
      <c r="N12" s="77">
        <v>10198</v>
      </c>
      <c r="O12" s="77">
        <v>25150</v>
      </c>
      <c r="P12" s="76">
        <v>708</v>
      </c>
      <c r="Q12" s="77">
        <v>5196</v>
      </c>
      <c r="R12" s="77">
        <v>-4339</v>
      </c>
      <c r="S12" s="79">
        <v>84986</v>
      </c>
    </row>
    <row r="13" spans="1:19" x14ac:dyDescent="0.3">
      <c r="A13" s="76" t="s">
        <v>340</v>
      </c>
      <c r="B13" s="76"/>
      <c r="C13" s="76"/>
      <c r="D13" s="76"/>
      <c r="E13" s="76"/>
      <c r="F13" s="76"/>
      <c r="G13" s="76"/>
      <c r="H13" s="76"/>
      <c r="I13" s="76"/>
      <c r="J13" s="108"/>
      <c r="K13" s="249"/>
    </row>
    <row r="14" spans="1:19" x14ac:dyDescent="0.3">
      <c r="A14" s="76" t="s">
        <v>341</v>
      </c>
      <c r="B14" s="76"/>
      <c r="C14" s="76"/>
      <c r="D14" s="76"/>
      <c r="E14" s="76"/>
      <c r="F14" s="76"/>
      <c r="G14" s="76"/>
      <c r="H14" s="76"/>
      <c r="I14" s="76"/>
      <c r="J14" s="108"/>
      <c r="K14" s="249"/>
    </row>
    <row r="15" spans="1:19" x14ac:dyDescent="0.3">
      <c r="A15" s="76" t="s">
        <v>342</v>
      </c>
      <c r="B15" s="76"/>
      <c r="C15" s="76"/>
      <c r="D15" s="76"/>
      <c r="E15" s="76"/>
      <c r="F15" s="76"/>
      <c r="G15" s="76"/>
      <c r="H15" s="76"/>
      <c r="I15" s="76"/>
      <c r="J15" s="109">
        <v>-21027</v>
      </c>
      <c r="K15" s="250"/>
      <c r="S15" s="79">
        <v>-14584</v>
      </c>
    </row>
    <row r="16" spans="1:19" x14ac:dyDescent="0.3">
      <c r="A16" s="76"/>
      <c r="B16" s="76"/>
      <c r="C16" s="76"/>
      <c r="D16" s="76"/>
      <c r="E16" s="76"/>
      <c r="F16" s="76"/>
      <c r="G16" s="76"/>
      <c r="H16" s="76"/>
      <c r="I16" s="76"/>
      <c r="J16" s="108"/>
      <c r="K16" s="249"/>
      <c r="S16" s="78"/>
    </row>
    <row r="17" spans="1:19" x14ac:dyDescent="0.3">
      <c r="A17" s="76" t="s">
        <v>202</v>
      </c>
      <c r="B17" s="76"/>
      <c r="C17" s="76"/>
      <c r="D17" s="76"/>
      <c r="E17" s="76"/>
      <c r="F17" s="76"/>
      <c r="G17" s="76"/>
      <c r="H17" s="76"/>
      <c r="I17" s="76"/>
      <c r="J17" s="109">
        <v>9519</v>
      </c>
      <c r="K17" s="250"/>
      <c r="S17" s="79">
        <v>10904</v>
      </c>
    </row>
    <row r="18" spans="1:19" x14ac:dyDescent="0.3">
      <c r="A18" s="76"/>
      <c r="B18" s="76"/>
      <c r="C18" s="76"/>
      <c r="D18" s="76"/>
      <c r="E18" s="76"/>
      <c r="F18" s="76"/>
      <c r="G18" s="76"/>
      <c r="H18" s="76"/>
      <c r="I18" s="76"/>
      <c r="J18" s="108"/>
      <c r="K18" s="249"/>
    </row>
    <row r="19" spans="1:19" x14ac:dyDescent="0.3">
      <c r="A19" s="76" t="s">
        <v>203</v>
      </c>
      <c r="B19" s="76"/>
      <c r="C19" s="76"/>
      <c r="D19" s="76"/>
      <c r="E19" s="76"/>
      <c r="F19" s="76"/>
      <c r="G19" s="76"/>
      <c r="H19" s="76"/>
      <c r="I19" s="76"/>
      <c r="J19" s="109">
        <v>49819</v>
      </c>
      <c r="K19" s="250"/>
      <c r="S19" s="79">
        <v>81306</v>
      </c>
    </row>
    <row r="20" spans="1:19" x14ac:dyDescent="0.3">
      <c r="A20" s="76"/>
      <c r="B20" s="76"/>
      <c r="C20" s="76"/>
      <c r="D20" s="76"/>
      <c r="E20" s="76"/>
      <c r="F20" s="76"/>
      <c r="G20" s="76"/>
      <c r="H20" s="76"/>
      <c r="I20" s="76"/>
      <c r="J20" s="108"/>
      <c r="K20" s="249"/>
    </row>
    <row r="21" spans="1:19" x14ac:dyDescent="0.3">
      <c r="A21" s="76" t="s">
        <v>153</v>
      </c>
      <c r="B21" s="76"/>
      <c r="C21" s="76"/>
      <c r="D21" s="76"/>
      <c r="E21" s="76"/>
      <c r="F21" s="76"/>
      <c r="G21" s="76"/>
      <c r="H21" s="76"/>
      <c r="I21" s="76"/>
      <c r="J21" s="109">
        <v>5642</v>
      </c>
      <c r="K21" s="250"/>
      <c r="S21" s="79">
        <v>2836</v>
      </c>
    </row>
    <row r="22" spans="1:19" x14ac:dyDescent="0.3">
      <c r="A22" s="76" t="s">
        <v>343</v>
      </c>
      <c r="B22" s="76"/>
      <c r="C22" s="76"/>
      <c r="D22" s="76"/>
      <c r="E22" s="76"/>
      <c r="F22" s="76"/>
      <c r="G22" s="76"/>
      <c r="H22" s="76"/>
      <c r="I22" s="76"/>
      <c r="J22" s="108"/>
      <c r="K22" s="249"/>
    </row>
    <row r="23" spans="1:19" x14ac:dyDescent="0.3">
      <c r="A23" s="76" t="s">
        <v>204</v>
      </c>
      <c r="B23" s="76"/>
      <c r="C23" s="76"/>
      <c r="D23" s="76"/>
      <c r="E23" s="76"/>
      <c r="F23" s="76"/>
      <c r="G23" s="76"/>
      <c r="H23" s="76"/>
      <c r="I23" s="76"/>
      <c r="J23" s="109">
        <v>55461</v>
      </c>
      <c r="K23" s="250"/>
      <c r="S23" s="79">
        <v>84142</v>
      </c>
    </row>
    <row r="24" spans="1:19" x14ac:dyDescent="0.3">
      <c r="A24" s="76"/>
      <c r="B24" s="76"/>
      <c r="C24" s="76"/>
      <c r="D24" s="76"/>
      <c r="E24" s="76"/>
      <c r="F24" s="76"/>
      <c r="G24" s="76"/>
      <c r="H24" s="76"/>
      <c r="I24" s="76"/>
      <c r="J24" s="108"/>
      <c r="K24" s="249"/>
      <c r="S24" s="79">
        <v>-3161</v>
      </c>
    </row>
    <row r="25" spans="1:19" x14ac:dyDescent="0.3">
      <c r="A25" s="76" t="s">
        <v>157</v>
      </c>
      <c r="B25" s="76"/>
      <c r="C25" s="76"/>
      <c r="D25" s="76"/>
      <c r="E25" s="76"/>
      <c r="F25" s="76"/>
      <c r="G25" s="76"/>
      <c r="H25" s="76"/>
      <c r="I25" s="76"/>
      <c r="J25" s="109">
        <v>-2205</v>
      </c>
      <c r="K25" s="250"/>
      <c r="S25" s="78"/>
    </row>
    <row r="26" spans="1:19" x14ac:dyDescent="0.3">
      <c r="A26" s="76" t="s">
        <v>159</v>
      </c>
      <c r="B26" s="76"/>
      <c r="C26" s="76"/>
      <c r="D26" s="76"/>
      <c r="E26" s="76"/>
      <c r="F26" s="76"/>
      <c r="G26" s="76"/>
      <c r="H26" s="76"/>
      <c r="I26" s="76"/>
      <c r="J26" s="108">
        <v>483</v>
      </c>
      <c r="K26" s="249"/>
      <c r="S26" s="79">
        <v>-13136</v>
      </c>
    </row>
    <row r="27" spans="1:19" x14ac:dyDescent="0.3">
      <c r="A27" s="76"/>
      <c r="B27" s="76"/>
      <c r="C27" s="76"/>
      <c r="D27" s="76"/>
      <c r="E27" s="76"/>
      <c r="F27" s="76"/>
      <c r="G27" s="76"/>
      <c r="H27" s="76"/>
      <c r="I27" s="76"/>
      <c r="J27" s="108"/>
      <c r="K27" s="249"/>
      <c r="S27" s="78"/>
    </row>
    <row r="28" spans="1:19" x14ac:dyDescent="0.3">
      <c r="A28" s="76" t="s">
        <v>344</v>
      </c>
      <c r="B28" s="76" t="s">
        <v>345</v>
      </c>
      <c r="C28" s="76"/>
      <c r="D28" s="76"/>
      <c r="E28" s="76"/>
      <c r="F28" s="76"/>
      <c r="G28" s="76"/>
      <c r="H28" s="76"/>
      <c r="I28" s="76"/>
      <c r="J28" s="108"/>
      <c r="K28" s="249"/>
    </row>
    <row r="29" spans="1:19" x14ac:dyDescent="0.3">
      <c r="A29" s="76" t="s">
        <v>346</v>
      </c>
      <c r="B29" s="76" t="s">
        <v>347</v>
      </c>
      <c r="C29" s="76"/>
      <c r="D29" s="76"/>
      <c r="E29" s="76"/>
      <c r="F29" s="76"/>
      <c r="G29" s="76"/>
      <c r="H29" s="76"/>
      <c r="I29" s="76"/>
      <c r="J29" s="109">
        <v>-4611</v>
      </c>
      <c r="K29" s="250"/>
      <c r="S29" s="79">
        <v>67845</v>
      </c>
    </row>
    <row r="30" spans="1:19" x14ac:dyDescent="0.3">
      <c r="A30" s="76" t="s">
        <v>344</v>
      </c>
      <c r="B30" s="76" t="s">
        <v>194</v>
      </c>
      <c r="C30" s="76"/>
      <c r="D30" s="76"/>
      <c r="E30" s="76"/>
      <c r="F30" s="76"/>
      <c r="G30" s="76"/>
      <c r="H30" s="76"/>
      <c r="I30" s="76"/>
      <c r="J30" s="108"/>
      <c r="K30" s="249"/>
      <c r="S30" s="79">
        <v>-7140</v>
      </c>
    </row>
    <row r="31" spans="1:19" x14ac:dyDescent="0.3">
      <c r="A31" s="76" t="s">
        <v>348</v>
      </c>
      <c r="B31" s="76"/>
      <c r="C31" s="76"/>
      <c r="D31" s="76"/>
      <c r="E31" s="76"/>
      <c r="F31" s="76"/>
      <c r="G31" s="76"/>
      <c r="H31" s="76"/>
      <c r="I31" s="76"/>
      <c r="J31" s="109">
        <v>49128</v>
      </c>
      <c r="K31" s="250"/>
      <c r="S31" s="79">
        <v>60705</v>
      </c>
    </row>
    <row r="32" spans="1:19" x14ac:dyDescent="0.3">
      <c r="S32" s="78"/>
    </row>
    <row r="34" spans="1:21" x14ac:dyDescent="0.3">
      <c r="S34" s="78"/>
    </row>
    <row r="35" spans="1:21" x14ac:dyDescent="0.3">
      <c r="S35" s="78"/>
    </row>
    <row r="36" spans="1:21" x14ac:dyDescent="0.3">
      <c r="A36" s="76" t="s">
        <v>205</v>
      </c>
      <c r="B36" s="76"/>
      <c r="C36" s="76"/>
      <c r="D36" s="76"/>
      <c r="E36" s="76"/>
      <c r="F36" s="76"/>
      <c r="G36" s="76"/>
      <c r="H36" s="76"/>
      <c r="I36" s="76"/>
      <c r="J36" s="108"/>
      <c r="K36" s="249"/>
    </row>
    <row r="37" spans="1:21" x14ac:dyDescent="0.3">
      <c r="A37" s="76" t="s">
        <v>349</v>
      </c>
      <c r="B37" s="76" t="s">
        <v>307</v>
      </c>
      <c r="C37" s="77">
        <v>358964</v>
      </c>
      <c r="D37" s="77">
        <v>35163</v>
      </c>
      <c r="E37" s="77">
        <v>98361</v>
      </c>
      <c r="F37" s="77">
        <v>305965</v>
      </c>
      <c r="G37" s="77">
        <v>80765</v>
      </c>
      <c r="H37" s="77">
        <v>134717</v>
      </c>
      <c r="I37" s="77">
        <v>325455</v>
      </c>
      <c r="J37" s="109">
        <v>1339390</v>
      </c>
      <c r="K37" s="79"/>
      <c r="L37" s="77">
        <v>379209</v>
      </c>
      <c r="M37" s="77">
        <v>34938</v>
      </c>
      <c r="N37" s="77">
        <v>124736</v>
      </c>
      <c r="O37" s="77">
        <v>371907</v>
      </c>
      <c r="P37" s="77">
        <v>108597</v>
      </c>
      <c r="Q37" s="77">
        <v>160961</v>
      </c>
      <c r="R37" s="77">
        <v>336206</v>
      </c>
      <c r="S37" s="79">
        <v>1516554</v>
      </c>
    </row>
    <row r="38" spans="1:21" x14ac:dyDescent="0.3">
      <c r="A38" s="76"/>
      <c r="B38" s="76"/>
      <c r="C38" s="76"/>
      <c r="D38" s="76"/>
      <c r="E38" s="76"/>
      <c r="F38" s="76"/>
      <c r="G38" s="76"/>
      <c r="H38" s="76"/>
      <c r="I38" s="76"/>
      <c r="J38" s="108"/>
      <c r="K38" s="249"/>
    </row>
    <row r="39" spans="1:21" x14ac:dyDescent="0.3">
      <c r="A39" s="76" t="s">
        <v>350</v>
      </c>
      <c r="B39" s="76" t="s">
        <v>307</v>
      </c>
      <c r="C39" s="77">
        <v>44284</v>
      </c>
      <c r="D39" s="77">
        <v>14359</v>
      </c>
      <c r="E39" s="77">
        <v>20879</v>
      </c>
      <c r="F39" s="77">
        <v>68328</v>
      </c>
      <c r="G39" s="76">
        <v>93</v>
      </c>
      <c r="H39" s="77">
        <v>14272</v>
      </c>
      <c r="I39" s="77">
        <v>1177175</v>
      </c>
      <c r="J39" s="109">
        <v>1339390</v>
      </c>
      <c r="K39" s="79"/>
      <c r="L39" s="77">
        <v>61336</v>
      </c>
      <c r="M39" s="77">
        <v>10899</v>
      </c>
      <c r="N39" s="77">
        <v>36031</v>
      </c>
      <c r="O39" s="77">
        <v>117938</v>
      </c>
      <c r="P39" s="76">
        <v>190</v>
      </c>
      <c r="Q39" s="77">
        <v>24371</v>
      </c>
      <c r="R39" s="77">
        <v>1265789</v>
      </c>
      <c r="S39" s="79">
        <v>1516554</v>
      </c>
    </row>
    <row r="40" spans="1:21" x14ac:dyDescent="0.3">
      <c r="A40" s="76"/>
      <c r="B40" s="76"/>
      <c r="C40" s="76"/>
      <c r="D40" s="76"/>
      <c r="E40" s="76"/>
      <c r="F40" s="76"/>
      <c r="G40" s="76"/>
      <c r="H40" s="76"/>
      <c r="I40" s="76"/>
      <c r="J40" s="108"/>
      <c r="K40" s="249"/>
    </row>
    <row r="41" spans="1:21" x14ac:dyDescent="0.3">
      <c r="A41" s="76" t="s">
        <v>206</v>
      </c>
      <c r="B41" s="76"/>
      <c r="C41" s="77">
        <v>7867</v>
      </c>
      <c r="D41" s="77">
        <v>3879</v>
      </c>
      <c r="E41" s="77">
        <v>10321</v>
      </c>
      <c r="F41" s="77">
        <v>35998</v>
      </c>
      <c r="G41" s="76">
        <v>18</v>
      </c>
      <c r="H41" s="77">
        <v>18289</v>
      </c>
      <c r="I41" s="77">
        <v>3295</v>
      </c>
      <c r="J41" s="109">
        <v>79667</v>
      </c>
      <c r="K41" s="79"/>
      <c r="L41" s="77">
        <v>7913</v>
      </c>
      <c r="M41" s="77">
        <v>5520</v>
      </c>
      <c r="N41" s="77">
        <v>29873</v>
      </c>
      <c r="O41" s="77">
        <v>82744</v>
      </c>
      <c r="P41" s="76">
        <v>46</v>
      </c>
      <c r="Q41" s="77">
        <v>13606</v>
      </c>
      <c r="R41" s="77">
        <v>5650</v>
      </c>
      <c r="S41" s="79">
        <v>145352</v>
      </c>
    </row>
    <row r="42" spans="1:21" x14ac:dyDescent="0.3">
      <c r="A42" s="76"/>
      <c r="B42" s="76"/>
      <c r="C42" s="76"/>
      <c r="D42" s="76"/>
      <c r="E42" s="76"/>
      <c r="F42" s="76"/>
      <c r="G42" s="76"/>
      <c r="H42" s="76"/>
      <c r="I42" s="76"/>
      <c r="J42" s="108"/>
      <c r="K42" s="249"/>
    </row>
    <row r="43" spans="1:21" x14ac:dyDescent="0.3">
      <c r="A43" s="76" t="s">
        <v>351</v>
      </c>
      <c r="B43" s="76"/>
      <c r="C43" s="76"/>
      <c r="D43" s="76"/>
      <c r="E43" s="76"/>
      <c r="F43" s="76"/>
      <c r="G43" s="76"/>
      <c r="H43" s="76"/>
      <c r="I43" s="76"/>
      <c r="J43" s="108"/>
      <c r="K43" s="249"/>
    </row>
    <row r="44" spans="1:21" x14ac:dyDescent="0.3">
      <c r="A44" s="76"/>
      <c r="B44" s="76"/>
      <c r="C44" s="77">
        <v>8397</v>
      </c>
      <c r="D44" s="77">
        <v>1735</v>
      </c>
      <c r="E44" s="77">
        <v>1851</v>
      </c>
      <c r="F44" s="77">
        <v>12854</v>
      </c>
      <c r="G44" s="76" t="s">
        <v>84</v>
      </c>
      <c r="H44" s="77">
        <v>1376</v>
      </c>
      <c r="I44" s="76">
        <v>359</v>
      </c>
      <c r="J44" s="109">
        <v>26572</v>
      </c>
      <c r="K44" s="79"/>
      <c r="L44" s="77">
        <v>7528</v>
      </c>
      <c r="M44" s="77">
        <v>2578</v>
      </c>
      <c r="N44" s="77">
        <v>2225</v>
      </c>
      <c r="O44" s="77">
        <v>15118</v>
      </c>
      <c r="P44" s="76">
        <v>15</v>
      </c>
      <c r="Q44" s="77">
        <v>1942</v>
      </c>
      <c r="R44" s="76">
        <v>391</v>
      </c>
      <c r="S44" s="79">
        <v>29797</v>
      </c>
    </row>
    <row r="45" spans="1:21" x14ac:dyDescent="0.3">
      <c r="A45" s="76" t="s">
        <v>352</v>
      </c>
      <c r="B45" s="76"/>
      <c r="C45" s="76"/>
      <c r="D45" s="76"/>
      <c r="E45" s="76"/>
      <c r="F45" s="76"/>
      <c r="G45" s="76"/>
      <c r="H45" s="76"/>
      <c r="I45" s="76"/>
      <c r="J45" s="108"/>
      <c r="K45" s="249"/>
    </row>
    <row r="46" spans="1:21" x14ac:dyDescent="0.3">
      <c r="A46" s="76"/>
      <c r="B46" s="76"/>
      <c r="C46" s="76"/>
      <c r="D46" s="76"/>
      <c r="E46" s="76"/>
      <c r="F46" s="76"/>
      <c r="G46" s="76"/>
      <c r="H46" s="76"/>
      <c r="I46" s="108"/>
      <c r="J46" s="120"/>
      <c r="K46" s="120"/>
      <c r="R46" s="133"/>
      <c r="S46" s="120"/>
    </row>
    <row r="48" spans="1:21" x14ac:dyDescent="0.3">
      <c r="A48" s="120" t="s">
        <v>485</v>
      </c>
      <c r="B48" s="120" t="s">
        <v>313</v>
      </c>
      <c r="C48" s="120" t="s">
        <v>196</v>
      </c>
      <c r="D48" s="120" t="s">
        <v>489</v>
      </c>
      <c r="E48" s="120" t="s">
        <v>490</v>
      </c>
      <c r="F48" s="120" t="s">
        <v>491</v>
      </c>
      <c r="G48" s="120" t="s">
        <v>492</v>
      </c>
      <c r="H48" s="120" t="s">
        <v>493</v>
      </c>
      <c r="I48" s="120" t="s">
        <v>494</v>
      </c>
      <c r="J48" s="133" t="s">
        <v>495</v>
      </c>
      <c r="L48" s="120" t="s">
        <v>485</v>
      </c>
      <c r="M48" s="120" t="s">
        <v>313</v>
      </c>
      <c r="N48" s="120" t="s">
        <v>196</v>
      </c>
      <c r="O48" s="120" t="s">
        <v>489</v>
      </c>
      <c r="P48" s="120" t="s">
        <v>490</v>
      </c>
      <c r="Q48" s="120" t="s">
        <v>491</v>
      </c>
      <c r="R48" s="120" t="s">
        <v>492</v>
      </c>
      <c r="S48" s="120" t="s">
        <v>493</v>
      </c>
      <c r="T48" s="120" t="s">
        <v>494</v>
      </c>
      <c r="U48" s="133" t="s">
        <v>495</v>
      </c>
    </row>
    <row r="49" spans="1:21" x14ac:dyDescent="0.3">
      <c r="A49" s="120" t="s">
        <v>486</v>
      </c>
      <c r="B49" s="120">
        <f>B10</f>
        <v>0</v>
      </c>
      <c r="C49" s="120">
        <f t="shared" ref="C49:J49" si="0">C10</f>
        <v>306490</v>
      </c>
      <c r="D49" s="120">
        <f t="shared" si="0"/>
        <v>2128</v>
      </c>
      <c r="E49" s="120">
        <f t="shared" si="0"/>
        <v>139136</v>
      </c>
      <c r="F49" s="120">
        <f t="shared" si="0"/>
        <v>76642</v>
      </c>
      <c r="G49" s="120">
        <f t="shared" si="0"/>
        <v>2433</v>
      </c>
      <c r="H49" s="120">
        <f t="shared" si="0"/>
        <v>41054</v>
      </c>
      <c r="I49" s="120" t="str">
        <f t="shared" si="0"/>
        <v>-</v>
      </c>
      <c r="J49" s="120">
        <f t="shared" si="0"/>
        <v>486326</v>
      </c>
      <c r="K49" s="120"/>
      <c r="L49" s="120" t="s">
        <v>486</v>
      </c>
      <c r="N49" s="246">
        <f>L10</f>
        <v>480320</v>
      </c>
      <c r="O49" s="246">
        <f>M10</f>
        <v>7482</v>
      </c>
      <c r="P49" s="246">
        <f>N10</f>
        <v>175015</v>
      </c>
      <c r="Q49" s="246">
        <f>O10</f>
        <v>85117</v>
      </c>
      <c r="R49" s="246">
        <f>P7</f>
        <v>2127</v>
      </c>
      <c r="S49" s="246">
        <f>Q10</f>
        <v>60619</v>
      </c>
      <c r="T49" s="120">
        <f t="shared" ref="T49" si="1">T10</f>
        <v>0</v>
      </c>
      <c r="U49" s="246">
        <f>SUM(N49:T49)</f>
        <v>810680</v>
      </c>
    </row>
    <row r="50" spans="1:21" x14ac:dyDescent="0.3">
      <c r="A50" s="120" t="s">
        <v>488</v>
      </c>
      <c r="L50" s="120" t="s">
        <v>488</v>
      </c>
      <c r="S50" s="120"/>
      <c r="U50" s="133"/>
    </row>
    <row r="51" spans="1:21" x14ac:dyDescent="0.3">
      <c r="A51" s="120" t="s">
        <v>487</v>
      </c>
      <c r="B51" s="120">
        <f>B12</f>
        <v>0</v>
      </c>
      <c r="C51" s="120">
        <f t="shared" ref="C51:H51" si="2">C12</f>
        <v>29773</v>
      </c>
      <c r="D51" s="120">
        <f t="shared" si="2"/>
        <v>-1477</v>
      </c>
      <c r="E51" s="120">
        <f t="shared" si="2"/>
        <v>7991</v>
      </c>
      <c r="F51" s="120">
        <f t="shared" si="2"/>
        <v>21181</v>
      </c>
      <c r="G51" s="120">
        <f t="shared" si="2"/>
        <v>1294</v>
      </c>
      <c r="H51" s="120">
        <f t="shared" si="2"/>
        <v>3635</v>
      </c>
      <c r="I51" s="246">
        <f>I12</f>
        <v>-1070</v>
      </c>
      <c r="J51" s="245">
        <f>J12</f>
        <v>61327</v>
      </c>
      <c r="K51" s="245"/>
      <c r="L51" s="120" t="s">
        <v>487</v>
      </c>
      <c r="N51" s="246">
        <f t="shared" ref="N51:T51" si="3">L12</f>
        <v>45194</v>
      </c>
      <c r="O51" s="246">
        <f t="shared" si="3"/>
        <v>2879</v>
      </c>
      <c r="P51" s="246">
        <f t="shared" si="3"/>
        <v>10198</v>
      </c>
      <c r="Q51" s="246">
        <f t="shared" si="3"/>
        <v>25150</v>
      </c>
      <c r="R51" s="120">
        <f t="shared" si="3"/>
        <v>708</v>
      </c>
      <c r="S51" s="120">
        <f t="shared" si="3"/>
        <v>5196</v>
      </c>
      <c r="T51" s="246">
        <f t="shared" si="3"/>
        <v>-4339</v>
      </c>
      <c r="U51" s="245">
        <f>SUM(N51:T51)</f>
        <v>84986</v>
      </c>
    </row>
    <row r="52" spans="1:21" x14ac:dyDescent="0.3">
      <c r="S52" s="120"/>
      <c r="U52" s="133"/>
    </row>
    <row r="53" spans="1:21" ht="15.6" x14ac:dyDescent="0.3">
      <c r="A53" s="247" t="s">
        <v>496</v>
      </c>
      <c r="B53" s="247"/>
      <c r="C53" s="248">
        <f>C51/C49</f>
        <v>9.7141831707396653E-2</v>
      </c>
      <c r="D53" s="248">
        <f t="shared" ref="D53:J53" si="4">D51/D49</f>
        <v>-0.69407894736842102</v>
      </c>
      <c r="E53" s="248">
        <f t="shared" si="4"/>
        <v>5.7433015179392824E-2</v>
      </c>
      <c r="F53" s="248">
        <f t="shared" si="4"/>
        <v>0.27636282978001619</v>
      </c>
      <c r="G53" s="248">
        <f t="shared" si="4"/>
        <v>0.53185367858610766</v>
      </c>
      <c r="H53" s="248">
        <f t="shared" si="4"/>
        <v>8.8541920397525217E-2</v>
      </c>
      <c r="I53" s="248"/>
      <c r="J53" s="248">
        <f t="shared" si="4"/>
        <v>0.12610265542043814</v>
      </c>
      <c r="K53" s="248"/>
      <c r="L53" s="247" t="s">
        <v>496</v>
      </c>
      <c r="M53" s="247"/>
      <c r="N53" s="248">
        <f>N51/N49</f>
        <v>9.4091439040639574E-2</v>
      </c>
      <c r="O53" s="248">
        <f t="shared" ref="O53:S53" si="5">O51/O49</f>
        <v>0.3847901630580059</v>
      </c>
      <c r="P53" s="248">
        <f t="shared" si="5"/>
        <v>5.8269291203611122E-2</v>
      </c>
      <c r="Q53" s="248">
        <f t="shared" si="5"/>
        <v>0.29547563941398308</v>
      </c>
      <c r="R53" s="248">
        <f t="shared" si="5"/>
        <v>0.33286318758815231</v>
      </c>
      <c r="S53" s="248">
        <f t="shared" si="5"/>
        <v>8.5715699698114448E-2</v>
      </c>
      <c r="T53" s="248"/>
      <c r="U53" s="248">
        <f t="shared" ref="U53" si="6">U51/U49</f>
        <v>0.10483297972072828</v>
      </c>
    </row>
  </sheetData>
  <conditionalFormatting sqref="C53:K53">
    <cfRule type="colorScale" priority="2">
      <colorScale>
        <cfvo type="num" val="0"/>
        <cfvo type="num" val="0"/>
        <color rgb="FFDC8686"/>
        <color theme="9" tint="0.39997558519241921"/>
      </colorScale>
    </cfRule>
  </conditionalFormatting>
  <conditionalFormatting sqref="F55">
    <cfRule type="colorScale" priority="3">
      <colorScale>
        <cfvo type="min"/>
        <cfvo type="percentile" val="50"/>
        <cfvo type="max"/>
        <color rgb="FFF8696B"/>
        <color rgb="FFFFEB84"/>
        <color rgb="FF63BE7B"/>
      </colorScale>
    </cfRule>
  </conditionalFormatting>
  <conditionalFormatting sqref="N53:U53">
    <cfRule type="colorScale" priority="1">
      <colorScale>
        <cfvo type="num" val="0"/>
        <cfvo type="num" val="0"/>
        <color rgb="FFDC8686"/>
        <color theme="9" tint="0.39997558519241921"/>
      </colorScale>
    </cfRule>
  </conditionalFormatting>
  <pageMargins left="0.7" right="0.7" top="0.75" bottom="0.75" header="0.3" footer="0.3"/>
  <pageSetup orientation="portrait" r:id="rId1"/>
  <tableParts count="3">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Tài liệu" ma:contentTypeID="0x010100261A845B8F475E418E8E30779946B79F" ma:contentTypeVersion="2" ma:contentTypeDescription="Tạo tài liệu mới." ma:contentTypeScope="" ma:versionID="38de1b96585a110631cedc470b22718f">
  <xsd:schema xmlns:xsd="http://www.w3.org/2001/XMLSchema" xmlns:xs="http://www.w3.org/2001/XMLSchema" xmlns:p="http://schemas.microsoft.com/office/2006/metadata/properties" xmlns:ns3="098b8a8d-672d-46a9-a0b8-f8c296a05c2a" targetNamespace="http://schemas.microsoft.com/office/2006/metadata/properties" ma:root="true" ma:fieldsID="86c40e01911cbd7e16832820a8e6d1d0" ns3:_="">
    <xsd:import namespace="098b8a8d-672d-46a9-a0b8-f8c296a05c2a"/>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8b8a8d-672d-46a9-a0b8-f8c296a05c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C162CC5D-1B98-4E3F-9A2A-035737395EA9}">
  <ds:schemaRefs>
    <ds:schemaRef ds:uri="098b8a8d-672d-46a9-a0b8-f8c296a05c2a"/>
    <ds:schemaRef ds:uri="http://schemas.microsoft.com/office/infopath/2007/PartnerControls"/>
    <ds:schemaRef ds:uri="http://purl.org/dc/elements/1.1/"/>
    <ds:schemaRef ds:uri="http://schemas.microsoft.com/office/2006/documentManagement/types"/>
    <ds:schemaRef ds:uri="http://schemas.microsoft.com/office/2006/metadata/properties"/>
    <ds:schemaRef ds:uri="http://purl.org/dc/dcmitype/"/>
    <ds:schemaRef ds:uri="http://schemas.openxmlformats.org/package/2006/metadata/core-properties"/>
    <ds:schemaRef ds:uri="http://www.w3.org/XML/1998/namespace"/>
    <ds:schemaRef ds:uri="http://purl.org/dc/terms/"/>
  </ds:schemaRefs>
</ds:datastoreItem>
</file>

<file path=customXml/itemProps2.xml><?xml version="1.0" encoding="utf-8"?>
<ds:datastoreItem xmlns:ds="http://schemas.openxmlformats.org/officeDocument/2006/customXml" ds:itemID="{C3711E72-C385-4535-8B9D-69E3418B1676}">
  <ds:schemaRefs>
    <ds:schemaRef ds:uri="http://schemas.microsoft.com/sharepoint/v3/contenttype/forms"/>
  </ds:schemaRefs>
</ds:datastoreItem>
</file>

<file path=customXml/itemProps3.xml><?xml version="1.0" encoding="utf-8"?>
<ds:datastoreItem xmlns:ds="http://schemas.openxmlformats.org/officeDocument/2006/customXml" ds:itemID="{2AD2FBAD-62DE-402D-954C-6FE87CB5EA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8b8a8d-672d-46a9-a0b8-f8c296a05c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671F12B-76F4-4260-A801-BEBBB248B6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ToC</vt:lpstr>
      <vt:lpstr>residual income approch</vt:lpstr>
      <vt:lpstr>Sheet1</vt:lpstr>
      <vt:lpstr>valuation freecash flow</vt:lpstr>
      <vt:lpstr>marketbased valuations</vt:lpstr>
      <vt:lpstr>balancesheet</vt:lpstr>
      <vt:lpstr>profitloss</vt:lpstr>
      <vt:lpstr>cashflow</vt:lpstr>
      <vt:lpstr>charts</vt:lpstr>
      <vt:lpstr>other equity</vt:lpstr>
      <vt:lpstr>debt</vt:lpstr>
      <vt:lpstr>WORKING CAPITAL</vt:lpstr>
      <vt:lpstr>PPE</vt:lpstr>
      <vt:lpstr>revenue</vt:lpstr>
      <vt:lpstr>expenses</vt:lpstr>
      <vt:lpstr>segmentrevenue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Bhavyadhingra</dc:creator>
  <cp:lastModifiedBy>Bhavyadhingra</cp:lastModifiedBy>
  <dcterms:created xsi:type="dcterms:W3CDTF">2022-12-17T13:54:29Z</dcterms:created>
  <dcterms:modified xsi:type="dcterms:W3CDTF">2023-01-18T05:41:08Z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0x010100261A845B8F475E418E8E30779946B79F</vt:lpwstr>
  </property>
</Properties>
</file>