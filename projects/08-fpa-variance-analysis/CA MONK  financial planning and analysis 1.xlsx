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BCD\Downloads\"/>
    </mc:Choice>
  </mc:AlternateContent>
  <bookViews>
    <workbookView xWindow="0" yWindow="0" windowWidth="18528" windowHeight="8292" activeTab="4"/>
  </bookViews>
  <sheets>
    <sheet name="Profit &amp; Loss" sheetId="2" r:id="rId1"/>
    <sheet name="Balance Sheet" sheetId="3" r:id="rId2"/>
    <sheet name="Cash Flow" sheetId="4" r:id="rId3"/>
    <sheet name="Workings" sheetId="5" r:id="rId4"/>
    <sheet name="Charts" sheetId="6" r:id="rId5"/>
  </sheets>
  <definedNames>
    <definedName name="UPDATE">#REF!</definedName>
  </definedNames>
  <calcPr calcId="162913"/>
</workbook>
</file>

<file path=xl/calcChain.xml><?xml version="1.0" encoding="utf-8"?>
<calcChain xmlns="http://schemas.openxmlformats.org/spreadsheetml/2006/main">
  <c r="I24" i="3" l="1"/>
  <c r="I12" i="3"/>
  <c r="G37" i="4" l="1"/>
  <c r="G15" i="4"/>
  <c r="G16" i="4"/>
  <c r="G18" i="4"/>
  <c r="I11" i="2"/>
  <c r="M3" i="6" l="1"/>
  <c r="L3" i="6"/>
  <c r="K3" i="6"/>
  <c r="F42" i="5"/>
  <c r="G39" i="5" s="1"/>
  <c r="E42" i="5"/>
  <c r="D42" i="5"/>
  <c r="D50" i="5" s="1"/>
  <c r="F40" i="5"/>
  <c r="F49" i="5" s="1"/>
  <c r="E40" i="5"/>
  <c r="E49" i="5" s="1"/>
  <c r="D40" i="5"/>
  <c r="D49" i="5" s="1"/>
  <c r="F35" i="5"/>
  <c r="G35" i="5" s="1"/>
  <c r="E35" i="5"/>
  <c r="F34" i="5"/>
  <c r="G34" i="5" s="1"/>
  <c r="H34" i="5" s="1"/>
  <c r="I34" i="5" s="1"/>
  <c r="E34" i="5"/>
  <c r="F33" i="5"/>
  <c r="E33" i="5"/>
  <c r="F25" i="5"/>
  <c r="E25" i="5"/>
  <c r="D24" i="5"/>
  <c r="F23" i="5"/>
  <c r="F13" i="5"/>
  <c r="E13" i="5"/>
  <c r="E12" i="5"/>
  <c r="E11" i="5" s="1"/>
  <c r="F8" i="5"/>
  <c r="E8" i="5"/>
  <c r="D8" i="5"/>
  <c r="G4" i="5"/>
  <c r="G6" i="5" s="1"/>
  <c r="H4" i="5" s="1"/>
  <c r="H6" i="5" s="1"/>
  <c r="I4" i="5" s="1"/>
  <c r="I6" i="5" s="1"/>
  <c r="E38" i="4"/>
  <c r="D38" i="4"/>
  <c r="C38" i="4"/>
  <c r="D34" i="4"/>
  <c r="D35" i="4" s="1"/>
  <c r="C34" i="4"/>
  <c r="C33" i="4"/>
  <c r="D28" i="4"/>
  <c r="C28" i="4"/>
  <c r="C27" i="4"/>
  <c r="G26" i="4"/>
  <c r="F26" i="4"/>
  <c r="E26" i="4"/>
  <c r="D26" i="4"/>
  <c r="D25" i="4"/>
  <c r="C25" i="4"/>
  <c r="D24" i="4"/>
  <c r="C24" i="4"/>
  <c r="D18" i="4"/>
  <c r="C18" i="4"/>
  <c r="D17" i="4"/>
  <c r="C17" i="4"/>
  <c r="F16" i="4"/>
  <c r="E16" i="4"/>
  <c r="D16" i="4"/>
  <c r="C16" i="4"/>
  <c r="F15" i="4"/>
  <c r="E15" i="4"/>
  <c r="D15" i="4"/>
  <c r="C15" i="4"/>
  <c r="D14" i="4"/>
  <c r="D13" i="4"/>
  <c r="C13" i="4"/>
  <c r="D11" i="4"/>
  <c r="C11" i="4"/>
  <c r="D10" i="4"/>
  <c r="C10" i="4"/>
  <c r="D9" i="4"/>
  <c r="C9" i="4"/>
  <c r="D7" i="4"/>
  <c r="D20" i="4" s="1"/>
  <c r="C7" i="4"/>
  <c r="C20" i="4" s="1"/>
  <c r="B1" i="4"/>
  <c r="F24" i="3"/>
  <c r="F23" i="3"/>
  <c r="F19" i="3"/>
  <c r="F18" i="5" s="1"/>
  <c r="E19" i="3"/>
  <c r="D19" i="3"/>
  <c r="C14" i="4" s="1"/>
  <c r="H15" i="3"/>
  <c r="H53" i="5" s="1"/>
  <c r="F25" i="4" s="1"/>
  <c r="G15" i="3"/>
  <c r="G53" i="5" s="1"/>
  <c r="E25" i="4" s="1"/>
  <c r="E12" i="3"/>
  <c r="D12" i="3"/>
  <c r="F11" i="3"/>
  <c r="F12" i="3" s="1"/>
  <c r="E11" i="3"/>
  <c r="D11" i="3"/>
  <c r="I10" i="3"/>
  <c r="H10" i="3"/>
  <c r="F18" i="4" s="1"/>
  <c r="G10" i="3"/>
  <c r="E18" i="4" s="1"/>
  <c r="B1" i="3"/>
  <c r="I16" i="2"/>
  <c r="H16" i="2"/>
  <c r="G16" i="2"/>
  <c r="E28" i="4" s="1"/>
  <c r="D15" i="2"/>
  <c r="D19" i="2" s="1"/>
  <c r="D21" i="2" s="1"/>
  <c r="F14" i="2"/>
  <c r="F15" i="2" s="1"/>
  <c r="D14" i="2"/>
  <c r="F13" i="2"/>
  <c r="E13" i="2"/>
  <c r="E14" i="2" s="1"/>
  <c r="E15" i="2" s="1"/>
  <c r="I12" i="2"/>
  <c r="H12" i="2"/>
  <c r="G12" i="2"/>
  <c r="G11" i="2"/>
  <c r="H11" i="2" s="1"/>
  <c r="G10" i="2"/>
  <c r="H10" i="2" s="1"/>
  <c r="I10" i="2" s="1"/>
  <c r="I9" i="2"/>
  <c r="H9" i="2"/>
  <c r="G9" i="2"/>
  <c r="D29" i="4" l="1"/>
  <c r="T5" i="6" s="1"/>
  <c r="F26" i="3"/>
  <c r="F12" i="5"/>
  <c r="F11" i="5" s="1"/>
  <c r="F22" i="5"/>
  <c r="F21" i="5" s="1"/>
  <c r="F29" i="5"/>
  <c r="G29" i="5" s="1"/>
  <c r="H29" i="5" s="1"/>
  <c r="I29" i="5" s="1"/>
  <c r="C29" i="4"/>
  <c r="S5" i="6" s="1"/>
  <c r="C35" i="4"/>
  <c r="E39" i="5"/>
  <c r="H35" i="5"/>
  <c r="I35" i="5" s="1"/>
  <c r="E36" i="5"/>
  <c r="F39" i="5"/>
  <c r="F41" i="5" s="1"/>
  <c r="S4" i="6"/>
  <c r="E23" i="2"/>
  <c r="E19" i="2"/>
  <c r="E21" i="2" s="1"/>
  <c r="F23" i="2"/>
  <c r="F19" i="2"/>
  <c r="F21" i="2" s="1"/>
  <c r="K4" i="6"/>
  <c r="K5" i="6" s="1"/>
  <c r="C5" i="6"/>
  <c r="G28" i="4"/>
  <c r="G9" i="4"/>
  <c r="D23" i="3"/>
  <c r="D24" i="3" s="1"/>
  <c r="D26" i="3" s="1"/>
  <c r="I15" i="3"/>
  <c r="I53" i="5" s="1"/>
  <c r="G25" i="4" s="1"/>
  <c r="E18" i="5"/>
  <c r="F17" i="5"/>
  <c r="F16" i="5" s="1"/>
  <c r="E23" i="3"/>
  <c r="E24" i="3" s="1"/>
  <c r="E26" i="3" s="1"/>
  <c r="G8" i="5"/>
  <c r="G33" i="5"/>
  <c r="F36" i="5"/>
  <c r="D23" i="2"/>
  <c r="E9" i="4"/>
  <c r="F28" i="4"/>
  <c r="F9" i="4"/>
  <c r="T4" i="6"/>
  <c r="G45" i="5"/>
  <c r="D39" i="5"/>
  <c r="G41" i="5" l="1"/>
  <c r="H41" i="5"/>
  <c r="I41" i="5"/>
  <c r="G40" i="5"/>
  <c r="G42" i="5" s="1"/>
  <c r="H39" i="5" s="1"/>
  <c r="L4" i="6"/>
  <c r="L5" i="6" s="1"/>
  <c r="D5" i="6"/>
  <c r="D4" i="6" s="1"/>
  <c r="C6" i="4"/>
  <c r="C8" i="4" s="1"/>
  <c r="C12" i="4" s="1"/>
  <c r="C19" i="4" s="1"/>
  <c r="C21" i="4" s="1"/>
  <c r="H8" i="5"/>
  <c r="G12" i="5"/>
  <c r="G13" i="5" s="1"/>
  <c r="G5" i="2"/>
  <c r="G46" i="5"/>
  <c r="G47" i="5" s="1"/>
  <c r="E24" i="4"/>
  <c r="E29" i="4" s="1"/>
  <c r="U5" i="6" s="1"/>
  <c r="G55" i="5"/>
  <c r="G56" i="5" s="1"/>
  <c r="E5" i="6"/>
  <c r="M4" i="6"/>
  <c r="M5" i="6" s="1"/>
  <c r="D6" i="4"/>
  <c r="D8" i="4" s="1"/>
  <c r="D12" i="4" s="1"/>
  <c r="D19" i="4" s="1"/>
  <c r="D21" i="4" s="1"/>
  <c r="H33" i="5"/>
  <c r="G36" i="5"/>
  <c r="G8" i="2" s="1"/>
  <c r="G49" i="5" l="1"/>
  <c r="G17" i="2" s="1"/>
  <c r="E10" i="4" s="1"/>
  <c r="H44" i="5"/>
  <c r="G50" i="5"/>
  <c r="T3" i="6"/>
  <c r="D37" i="4"/>
  <c r="D39" i="4" s="1"/>
  <c r="H36" i="5"/>
  <c r="H8" i="2" s="1"/>
  <c r="I33" i="5"/>
  <c r="I36" i="5" s="1"/>
  <c r="I8" i="2" s="1"/>
  <c r="G17" i="5"/>
  <c r="G18" i="5" s="1"/>
  <c r="G19" i="3" s="1"/>
  <c r="H40" i="5"/>
  <c r="H42" i="5" s="1"/>
  <c r="E32" i="4"/>
  <c r="G59" i="5"/>
  <c r="H12" i="5"/>
  <c r="H13" i="5" s="1"/>
  <c r="I8" i="5"/>
  <c r="H5" i="2"/>
  <c r="S3" i="6"/>
  <c r="C37" i="4"/>
  <c r="C39" i="4" s="1"/>
  <c r="E4" i="6"/>
  <c r="G30" i="5"/>
  <c r="G18" i="3"/>
  <c r="I39" i="5" l="1"/>
  <c r="G25" i="5"/>
  <c r="G9" i="3"/>
  <c r="G60" i="5"/>
  <c r="E33" i="4" s="1"/>
  <c r="G61" i="5"/>
  <c r="G18" i="2" s="1"/>
  <c r="H17" i="5"/>
  <c r="H18" i="5" s="1"/>
  <c r="H19" i="3" s="1"/>
  <c r="E14" i="4"/>
  <c r="T6" i="6"/>
  <c r="H30" i="5"/>
  <c r="H18" i="3"/>
  <c r="S6" i="6"/>
  <c r="S9" i="6"/>
  <c r="E13" i="4"/>
  <c r="G13" i="2"/>
  <c r="I12" i="5"/>
  <c r="I13" i="5" s="1"/>
  <c r="I5" i="2"/>
  <c r="H45" i="5"/>
  <c r="G14" i="3"/>
  <c r="I17" i="5" l="1"/>
  <c r="I18" i="5" s="1"/>
  <c r="I19" i="3" s="1"/>
  <c r="G14" i="4" s="1"/>
  <c r="H13" i="2"/>
  <c r="E17" i="4"/>
  <c r="G11" i="3"/>
  <c r="I30" i="5"/>
  <c r="I18" i="3"/>
  <c r="G13" i="4" s="1"/>
  <c r="F13" i="4"/>
  <c r="H25" i="5"/>
  <c r="H9" i="3"/>
  <c r="F14" i="4"/>
  <c r="E11" i="4"/>
  <c r="E34" i="4"/>
  <c r="E35" i="4" s="1"/>
  <c r="U4" i="6" s="1"/>
  <c r="G22" i="5"/>
  <c r="G23" i="5" s="1"/>
  <c r="G24" i="5" s="1"/>
  <c r="T12" i="6"/>
  <c r="T11" i="6"/>
  <c r="T10" i="6"/>
  <c r="I40" i="5"/>
  <c r="I42" i="5" s="1"/>
  <c r="I50" i="5" s="1"/>
  <c r="I14" i="3" s="1"/>
  <c r="H55" i="5"/>
  <c r="H56" i="5" s="1"/>
  <c r="H46" i="5"/>
  <c r="F24" i="4"/>
  <c r="F29" i="4" s="1"/>
  <c r="V5" i="6" s="1"/>
  <c r="S12" i="6"/>
  <c r="S11" i="6"/>
  <c r="S10" i="6"/>
  <c r="T9" i="6"/>
  <c r="G62" i="5"/>
  <c r="H47" i="5" l="1"/>
  <c r="H49" i="5"/>
  <c r="H17" i="2" s="1"/>
  <c r="F10" i="4" s="1"/>
  <c r="H22" i="5"/>
  <c r="H23" i="5" s="1"/>
  <c r="H24" i="5" s="1"/>
  <c r="I13" i="2"/>
  <c r="H58" i="5"/>
  <c r="G7" i="3"/>
  <c r="H59" i="5"/>
  <c r="F32" i="4"/>
  <c r="G26" i="5"/>
  <c r="G7" i="2"/>
  <c r="G14" i="2" s="1"/>
  <c r="G15" i="2" s="1"/>
  <c r="F17" i="4"/>
  <c r="H11" i="3"/>
  <c r="I25" i="5"/>
  <c r="I22" i="5" s="1"/>
  <c r="I23" i="5" s="1"/>
  <c r="I24" i="5" s="1"/>
  <c r="I9" i="3"/>
  <c r="I11" i="3" l="1"/>
  <c r="I26" i="5"/>
  <c r="I7" i="2"/>
  <c r="I14" i="2" s="1"/>
  <c r="I15" i="2" s="1"/>
  <c r="G19" i="2"/>
  <c r="G23" i="2"/>
  <c r="I44" i="5"/>
  <c r="H50" i="5"/>
  <c r="H61" i="5"/>
  <c r="H18" i="2" s="1"/>
  <c r="H60" i="5"/>
  <c r="F33" i="4" s="1"/>
  <c r="G17" i="4"/>
  <c r="H26" i="5"/>
  <c r="H7" i="2"/>
  <c r="H14" i="2" s="1"/>
  <c r="H15" i="2" s="1"/>
  <c r="I23" i="2" l="1"/>
  <c r="F34" i="4"/>
  <c r="F35" i="4" s="1"/>
  <c r="V4" i="6" s="1"/>
  <c r="F11" i="4"/>
  <c r="G20" i="2"/>
  <c r="E7" i="4" s="1"/>
  <c r="E20" i="4" s="1"/>
  <c r="H62" i="5"/>
  <c r="H19" i="2"/>
  <c r="H23" i="2"/>
  <c r="I45" i="5"/>
  <c r="H14" i="3"/>
  <c r="I58" i="5" l="1"/>
  <c r="H7" i="3"/>
  <c r="I55" i="5"/>
  <c r="I56" i="5" s="1"/>
  <c r="G24" i="4"/>
  <c r="G29" i="4" s="1"/>
  <c r="W5" i="6" s="1"/>
  <c r="I46" i="5"/>
  <c r="I49" i="5" s="1"/>
  <c r="I17" i="2" s="1"/>
  <c r="H20" i="2"/>
  <c r="F7" i="4" s="1"/>
  <c r="F20" i="4" s="1"/>
  <c r="G21" i="2"/>
  <c r="H21" i="2" l="1"/>
  <c r="G5" i="6" s="1"/>
  <c r="G10" i="4"/>
  <c r="N4" i="6"/>
  <c r="F5" i="6"/>
  <c r="F4" i="6" s="1"/>
  <c r="E6" i="4"/>
  <c r="E8" i="4" s="1"/>
  <c r="E12" i="4" s="1"/>
  <c r="E19" i="4" s="1"/>
  <c r="E21" i="4" s="1"/>
  <c r="G6" i="3"/>
  <c r="O4" i="6"/>
  <c r="F6" i="4"/>
  <c r="F8" i="4" s="1"/>
  <c r="F12" i="4" s="1"/>
  <c r="F19" i="4" s="1"/>
  <c r="F21" i="4" s="1"/>
  <c r="H6" i="3"/>
  <c r="G32" i="4"/>
  <c r="I59" i="5"/>
  <c r="G4" i="6" l="1"/>
  <c r="I60" i="5"/>
  <c r="G33" i="4" s="1"/>
  <c r="O3" i="6"/>
  <c r="O5" i="6" s="1"/>
  <c r="H12" i="3"/>
  <c r="N3" i="6"/>
  <c r="N5" i="6" s="1"/>
  <c r="N6" i="6" s="1"/>
  <c r="G12" i="3"/>
  <c r="I61" i="5"/>
  <c r="I18" i="2" s="1"/>
  <c r="V3" i="6"/>
  <c r="F37" i="4"/>
  <c r="U3" i="6"/>
  <c r="E37" i="4"/>
  <c r="E39" i="4" s="1"/>
  <c r="U6" i="6" l="1"/>
  <c r="V6" i="6"/>
  <c r="G11" i="4"/>
  <c r="G34" i="4"/>
  <c r="G35" i="4" s="1"/>
  <c r="W4" i="6" s="1"/>
  <c r="I19" i="2"/>
  <c r="F38" i="4"/>
  <c r="F39" i="4" s="1"/>
  <c r="G20" i="3"/>
  <c r="G23" i="3" s="1"/>
  <c r="G24" i="3" s="1"/>
  <c r="G26" i="3" s="1"/>
  <c r="I62" i="5"/>
  <c r="I7" i="3" s="1"/>
  <c r="V12" i="6" l="1"/>
  <c r="V11" i="6"/>
  <c r="V10" i="6"/>
  <c r="I20" i="2"/>
  <c r="G7" i="4" s="1"/>
  <c r="G20" i="4" s="1"/>
  <c r="V9" i="6"/>
  <c r="G38" i="4"/>
  <c r="H20" i="3"/>
  <c r="H23" i="3" s="1"/>
  <c r="H24" i="3" s="1"/>
  <c r="H26" i="3" s="1"/>
  <c r="U12" i="6"/>
  <c r="U11" i="6"/>
  <c r="U10" i="6"/>
  <c r="U9" i="6"/>
  <c r="I21" i="2" l="1"/>
  <c r="G6" i="4" l="1"/>
  <c r="I6" i="3"/>
  <c r="P4" i="6"/>
  <c r="H5" i="6"/>
  <c r="H4" i="6" s="1"/>
  <c r="G8" i="4"/>
  <c r="G12" i="4" s="1"/>
  <c r="G19" i="4" s="1"/>
  <c r="G21" i="4" s="1"/>
  <c r="P3" i="6" l="1"/>
  <c r="P5" i="6" s="1"/>
  <c r="W3" i="6"/>
  <c r="G39" i="4"/>
  <c r="I20" i="3" s="1"/>
  <c r="I23" i="3" s="1"/>
  <c r="I26" i="3" l="1"/>
  <c r="W6" i="6"/>
  <c r="W9" i="6" s="1"/>
  <c r="W12" i="6" l="1"/>
  <c r="W11" i="6"/>
  <c r="W10" i="6"/>
</calcChain>
</file>

<file path=xl/sharedStrings.xml><?xml version="1.0" encoding="utf-8"?>
<sst xmlns="http://schemas.openxmlformats.org/spreadsheetml/2006/main" count="203" uniqueCount="135">
  <si>
    <t>GRIVA PRIVATE LTD.</t>
  </si>
  <si>
    <t>(Figures are in ₹ Crores)</t>
  </si>
  <si>
    <t>Particulars</t>
  </si>
  <si>
    <t>2018-19</t>
  </si>
  <si>
    <t>2019-20</t>
  </si>
  <si>
    <t>2020-21</t>
  </si>
  <si>
    <t>2021-22</t>
  </si>
  <si>
    <t>2022-23</t>
  </si>
  <si>
    <t>2023-24</t>
  </si>
  <si>
    <t>Sales</t>
  </si>
  <si>
    <t>Expenses</t>
  </si>
  <si>
    <t>Raw Material Cost</t>
  </si>
  <si>
    <t>Power and Fuel</t>
  </si>
  <si>
    <t>Other Manufacuring cost</t>
  </si>
  <si>
    <t>Employee Cost</t>
  </si>
  <si>
    <t>Other Expenses</t>
  </si>
  <si>
    <t>Selling and adminitration cost</t>
  </si>
  <si>
    <t>Cl.-Op.</t>
  </si>
  <si>
    <t>Change in Inventory</t>
  </si>
  <si>
    <t>Total Expenses</t>
  </si>
  <si>
    <t>Operating Profit</t>
  </si>
  <si>
    <t>Investment Income</t>
  </si>
  <si>
    <t>Depreciation</t>
  </si>
  <si>
    <t>Interest</t>
  </si>
  <si>
    <t>Profit before tax</t>
  </si>
  <si>
    <t>Tax</t>
  </si>
  <si>
    <t>Net profit</t>
  </si>
  <si>
    <t>OPM</t>
  </si>
  <si>
    <t>Equity Share Capital</t>
  </si>
  <si>
    <t>Reserves</t>
  </si>
  <si>
    <t>Borrowings</t>
  </si>
  <si>
    <t>Other Liabilities</t>
  </si>
  <si>
    <t>Trade Payables</t>
  </si>
  <si>
    <t>Other liability items</t>
  </si>
  <si>
    <t>Total Liabilities</t>
  </si>
  <si>
    <t>Total Equity and Liabilities</t>
  </si>
  <si>
    <t>Net Block of Fixed Asset</t>
  </si>
  <si>
    <t>Capital Work in Progress</t>
  </si>
  <si>
    <t>Investments</t>
  </si>
  <si>
    <t>Other Assets</t>
  </si>
  <si>
    <t>Inventories</t>
  </si>
  <si>
    <t>Trade receivables</t>
  </si>
  <si>
    <t>Cash Equivalents</t>
  </si>
  <si>
    <t>Loans and Advances</t>
  </si>
  <si>
    <t>Deposits</t>
  </si>
  <si>
    <t>Total Other Assets</t>
  </si>
  <si>
    <t>Total Assets</t>
  </si>
  <si>
    <t>Cash from Operating Activity</t>
  </si>
  <si>
    <t>Add: Taxes expenses</t>
  </si>
  <si>
    <t>Less: Investment Income</t>
  </si>
  <si>
    <t>Add: Depreciation</t>
  </si>
  <si>
    <t>Add: Interest</t>
  </si>
  <si>
    <t>Operating profit before working capital changes</t>
  </si>
  <si>
    <t>Inventory</t>
  </si>
  <si>
    <t>Op.-Cl.</t>
  </si>
  <si>
    <t>Receivables</t>
  </si>
  <si>
    <t>Loans Advances</t>
  </si>
  <si>
    <t>Payables</t>
  </si>
  <si>
    <t>Operating profit before tax</t>
  </si>
  <si>
    <t>Less: Tax paid</t>
  </si>
  <si>
    <t>Cash Flow from Investing Activity</t>
  </si>
  <si>
    <t>Fixed Assets purchased</t>
  </si>
  <si>
    <t>Investments purchased</t>
  </si>
  <si>
    <t>Investments sold</t>
  </si>
  <si>
    <t>Income on Investment (Interest, Dividend)</t>
  </si>
  <si>
    <t>Cash Flow from Financing Activity</t>
  </si>
  <si>
    <t>Borrowings made</t>
  </si>
  <si>
    <t>Repayment of borrowings</t>
  </si>
  <si>
    <t xml:space="preserve">Interest paid </t>
  </si>
  <si>
    <t xml:space="preserve">Net Cash Flow </t>
  </si>
  <si>
    <t>Opening Cash</t>
  </si>
  <si>
    <t>Closing Cash</t>
  </si>
  <si>
    <t>Name</t>
  </si>
  <si>
    <t>Formula</t>
  </si>
  <si>
    <t>Total Growth Rate of 5 years</t>
  </si>
  <si>
    <t>Growth rate</t>
  </si>
  <si>
    <t>Inventory Turnover Ratio</t>
  </si>
  <si>
    <t>Sales/Average Inventory</t>
  </si>
  <si>
    <t>Average Inventory</t>
  </si>
  <si>
    <t>Closing Inventory</t>
  </si>
  <si>
    <t>Receivables Turnover Ratio</t>
  </si>
  <si>
    <t>Sales/Average Receivables</t>
  </si>
  <si>
    <t>Average receivables</t>
  </si>
  <si>
    <t>Closing receivables</t>
  </si>
  <si>
    <t>Payables Turnover Ratio</t>
  </si>
  <si>
    <t>Purchases/Average Payables</t>
  </si>
  <si>
    <t>Average Payables</t>
  </si>
  <si>
    <t>Raw material purchases</t>
  </si>
  <si>
    <t>With 5.5% hike</t>
  </si>
  <si>
    <t>Closing Payables</t>
  </si>
  <si>
    <t>Payables to Inventory Ratio</t>
  </si>
  <si>
    <t>Payables/Inventory</t>
  </si>
  <si>
    <t>Petrol-diesel cost</t>
  </si>
  <si>
    <t>Oil &amp; energy cost</t>
  </si>
  <si>
    <t>Electricity cost</t>
  </si>
  <si>
    <t>Total Power and Fuel cost</t>
  </si>
  <si>
    <t>Opening ( Existing Assets )</t>
  </si>
  <si>
    <t>Average Rate of Depreciation</t>
  </si>
  <si>
    <t>Closing ( Existing Assets )</t>
  </si>
  <si>
    <t xml:space="preserve">Opening </t>
  </si>
  <si>
    <t>Additional Capex</t>
  </si>
  <si>
    <t>Additional Depreciation @ 15%</t>
  </si>
  <si>
    <t>Closing</t>
  </si>
  <si>
    <t>Total depreciation for the year</t>
  </si>
  <si>
    <t>Net Closing Value of Block</t>
  </si>
  <si>
    <t>Cash Expensed for Capital work in progress</t>
  </si>
  <si>
    <t>Total cash paid for CAPEX</t>
  </si>
  <si>
    <t>Borrowings made per year ( 60% of capex )</t>
  </si>
  <si>
    <t>Opening Balance of Borrowing</t>
  </si>
  <si>
    <t>Borrowings made during the year</t>
  </si>
  <si>
    <t>Interest on Borrowings</t>
  </si>
  <si>
    <t>Closing Borrowings</t>
  </si>
  <si>
    <t>Sales growth rate</t>
  </si>
  <si>
    <t>Capital Employed</t>
  </si>
  <si>
    <t>Operating Cashflow</t>
  </si>
  <si>
    <t>Net profit growth rate</t>
  </si>
  <si>
    <t>EBIT</t>
  </si>
  <si>
    <t>Financing Cashflow</t>
  </si>
  <si>
    <t>Net profit Margin =NP/Sales</t>
  </si>
  <si>
    <t>Return on Capital Employed</t>
  </si>
  <si>
    <t>Investing Cashflow</t>
  </si>
  <si>
    <t>Total</t>
  </si>
  <si>
    <t xml:space="preserve">In the year 2019-20, Net earnings growth was 1.31% higher than Sales growth which was a good sign. 
In years 2020-21 and 2021-22, Sales grew 18.21% and 10.04% but Net profit growth was just 0.69% and 0.30% which is not considered good and it shows the company doesn't have a good cost of control and cannot materialize its high sales into earnings for shareholders.
In the year 2022-23,the sale will grow by 10.95% and Net Profit Margin by 4.86%. This is because the company will achieve economies of scale resulting in lower manufacturing cost thereby, increasing the Net Profit Growth Margin by 4.86%.                                                                                                                           In the year 2023-24,  the sale will grow by 11.20% but Net Profit will fall by 1.20%.                                                                                                                                                                                                                                  </t>
  </si>
  <si>
    <t xml:space="preserve">The higher the company have operating cashflow, it is considered good for company's profitability, liquidity and becoming self-reliant i.e. reduce debt. 
Company always tries to maintain good amount of operating cashflows which is good sign for it's investors.
Company will invest 10% of Assets in capital expenditure for upgradation and for fresh Assets regularly for upcoming 3 years and it receives interest on investment. thus, company seems to invest normally in the range of 6 to 12% of cashflows in investing activites.
In the year 2020-21, It invested 57% of total cash inflow in Fixed Assets and Investments. 
Company will borrow 60% of CAPEX in each upcoming 3 years and will also start it's repayment of principal and interest amoun. thus, cashflow from financing activities set offs by receipts and payments of cash. It shows net effect in cash flow statement ranging from 0 to 5% of proportion in financing activities.
</t>
  </si>
  <si>
    <t>The company's Return on Equity was much higher in 2018-19 and 2019-20. High ROCE shows that the company is earning a high return with the given capital employed. 
It dropped by 16.31% and by 3.40% in 2020-21 and 2021-22  due to the increase in Reserves and Surplus resulting in increase in Capital employment.
It will increase by 1.45% in the year 2022-23 which is a good sign but again it will drop by 6.15% in a year due to increase in capital employed and lower return i.r.o. capital employed.</t>
  </si>
  <si>
    <t>Note 1</t>
  </si>
  <si>
    <t>Notes</t>
  </si>
  <si>
    <t>Note 2</t>
  </si>
  <si>
    <t>Note 3</t>
  </si>
  <si>
    <t>Note 4</t>
  </si>
  <si>
    <t>Note 5</t>
  </si>
  <si>
    <t>Note 6</t>
  </si>
  <si>
    <t>Note 7</t>
  </si>
  <si>
    <t>Note 8</t>
  </si>
  <si>
    <t>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</si>
</sst>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12">
    <font>
      <sz val="11"/>
      <color theme="1"/>
      <name val="Arial"/>
      <charset val="134"/>
    </font>
    <font>
      <sz val="12"/>
      <color theme="1"/>
      <name val="Calibri"/>
      <charset val="134"/>
    </font>
    <font>
      <b/>
      <sz val="11"/>
      <color theme="0"/>
      <name val="Calibri"/>
      <charset val="134"/>
    </font>
    <font>
      <b/>
      <sz val="11"/>
      <color rgb="FFFFFFFF"/>
      <name val="Calibri"/>
      <charset val="134"/>
    </font>
    <font>
      <sz val="11"/>
      <name val="Arial"/>
      <charset val="134"/>
    </font>
    <font>
      <sz val="11"/>
      <color theme="1"/>
      <name val="Calibri"/>
      <charset val="134"/>
    </font>
    <font>
      <b/>
      <sz val="11"/>
      <color theme="1"/>
      <name val="Calibri"/>
      <charset val="134"/>
    </font>
    <font>
      <b/>
      <sz val="12"/>
      <color theme="1"/>
      <name val="Calibri"/>
      <charset val="134"/>
    </font>
    <font>
      <b/>
      <sz val="11"/>
      <color theme="1"/>
      <name val="Arial"/>
      <family val="2"/>
    </font>
    <font>
      <b/>
      <sz val="11"/>
      <color theme="0"/>
      <name val="Calibri"/>
      <family val="2"/>
    </font>
    <font>
      <b/>
      <sz val="11"/>
      <color theme="1"/>
      <name val="Calibri"/>
      <family val="2"/>
    </font>
    <font>
      <sz val="11"/>
      <color theme="1"/>
      <name val="Calibri"/>
      <family val="2"/>
    </font>
  </fonts>
  <fills count="3">
    <fill>
      <patternFill patternType="none"/>
    </fill>
    <fill>
      <patternFill patternType="gray125"/>
    </fill>
    <fill>
      <patternFill patternType="solid">
        <fgColor rgb="FF79CBDF"/>
        <bgColor rgb="FF79CBD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1">
    <xf numFmtId="0" fontId="0" fillId="0" borderId="0" xfId="0" applyFont="1" applyAlignment="1"/>
    <xf numFmtId="0" fontId="1" fillId="0" borderId="0" xfId="0" applyFont="1"/>
    <xf numFmtId="0" fontId="2" fillId="2" borderId="0" xfId="0" applyFont="1" applyFill="1" applyBorder="1" applyAlignment="1">
      <alignment horizontal="center" vertical="center"/>
    </xf>
    <xf numFmtId="0" fontId="3" fillId="2" borderId="0" xfId="0" applyFont="1" applyFill="1" applyBorder="1" applyAlignment="1">
      <alignment horizontal="center" vertical="center"/>
    </xf>
    <xf numFmtId="10" fontId="1" fillId="0" borderId="0" xfId="0" applyNumberFormat="1" applyFont="1"/>
    <xf numFmtId="4" fontId="1" fillId="0" borderId="0" xfId="0" applyNumberFormat="1" applyFont="1"/>
    <xf numFmtId="2" fontId="1" fillId="0" borderId="0" xfId="0" applyNumberFormat="1" applyFont="1" applyAlignment="1">
      <alignment horizontal="right"/>
    </xf>
    <xf numFmtId="2" fontId="1" fillId="0" borderId="0" xfId="0" applyNumberFormat="1" applyFont="1"/>
    <xf numFmtId="9" fontId="1" fillId="0" borderId="0" xfId="0" applyNumberFormat="1" applyFont="1"/>
    <xf numFmtId="0" fontId="3" fillId="2" borderId="0" xfId="0" applyFont="1" applyFill="1" applyBorder="1" applyAlignment="1">
      <alignment horizontal="center"/>
    </xf>
    <xf numFmtId="0" fontId="5" fillId="0" borderId="9" xfId="0" applyFont="1" applyBorder="1" applyAlignment="1"/>
    <xf numFmtId="0" fontId="5" fillId="0" borderId="10" xfId="0" applyFont="1" applyBorder="1"/>
    <xf numFmtId="0" fontId="0" fillId="0" borderId="10" xfId="0" applyFont="1" applyBorder="1" applyAlignment="1"/>
    <xf numFmtId="2" fontId="5" fillId="0" borderId="10" xfId="0" applyNumberFormat="1" applyFont="1" applyBorder="1"/>
    <xf numFmtId="0" fontId="5" fillId="0" borderId="12" xfId="0" applyFont="1" applyBorder="1"/>
    <xf numFmtId="0" fontId="5" fillId="0" borderId="0" xfId="0" applyFont="1" applyBorder="1"/>
    <xf numFmtId="0" fontId="0" fillId="0" borderId="0" xfId="0" applyFont="1" applyBorder="1" applyAlignment="1"/>
    <xf numFmtId="2" fontId="5" fillId="0" borderId="0" xfId="0" applyNumberFormat="1" applyFont="1" applyBorder="1"/>
    <xf numFmtId="0" fontId="5" fillId="0" borderId="14" xfId="0" applyFont="1" applyBorder="1"/>
    <xf numFmtId="0" fontId="5" fillId="0" borderId="15" xfId="0" applyFont="1" applyBorder="1"/>
    <xf numFmtId="4" fontId="5" fillId="0" borderId="15" xfId="0" applyNumberFormat="1" applyFont="1" applyBorder="1"/>
    <xf numFmtId="0" fontId="5" fillId="0" borderId="0" xfId="0" applyFont="1"/>
    <xf numFmtId="2" fontId="5" fillId="0" borderId="0" xfId="0" applyNumberFormat="1" applyFont="1"/>
    <xf numFmtId="0" fontId="5" fillId="0" borderId="9" xfId="0" applyFont="1" applyBorder="1"/>
    <xf numFmtId="0" fontId="0" fillId="0" borderId="12" xfId="0" applyFont="1" applyBorder="1" applyAlignment="1"/>
    <xf numFmtId="4" fontId="5" fillId="0" borderId="0" xfId="0" applyNumberFormat="1" applyFont="1" applyBorder="1"/>
    <xf numFmtId="0" fontId="0" fillId="0" borderId="14" xfId="0" applyFont="1" applyBorder="1" applyAlignment="1"/>
    <xf numFmtId="0" fontId="0" fillId="0" borderId="15" xfId="0" applyFont="1" applyBorder="1" applyAlignment="1"/>
    <xf numFmtId="4" fontId="5" fillId="0" borderId="0" xfId="0" applyNumberFormat="1" applyFont="1"/>
    <xf numFmtId="4" fontId="6" fillId="0" borderId="15" xfId="0" applyNumberFormat="1" applyFont="1" applyBorder="1"/>
    <xf numFmtId="0" fontId="5" fillId="0" borderId="10" xfId="0" applyFont="1" applyBorder="1" applyAlignment="1"/>
    <xf numFmtId="4" fontId="6" fillId="0" borderId="0" xfId="0" applyNumberFormat="1" applyFont="1" applyBorder="1"/>
    <xf numFmtId="0" fontId="5" fillId="0" borderId="15" xfId="0" applyFont="1" applyBorder="1" applyAlignment="1"/>
    <xf numFmtId="2" fontId="6" fillId="0" borderId="15" xfId="0" applyNumberFormat="1" applyFont="1" applyBorder="1"/>
    <xf numFmtId="4" fontId="5" fillId="0" borderId="10" xfId="0" applyNumberFormat="1" applyFont="1" applyBorder="1"/>
    <xf numFmtId="10" fontId="5" fillId="0" borderId="0" xfId="0" applyNumberFormat="1" applyFont="1" applyBorder="1"/>
    <xf numFmtId="0" fontId="5" fillId="0" borderId="17" xfId="0" applyFont="1" applyBorder="1"/>
    <xf numFmtId="0" fontId="0" fillId="0" borderId="18" xfId="0" applyFont="1" applyBorder="1" applyAlignment="1"/>
    <xf numFmtId="4" fontId="6" fillId="0" borderId="18" xfId="0" applyNumberFormat="1" applyFont="1" applyBorder="1"/>
    <xf numFmtId="2" fontId="5" fillId="0" borderId="11" xfId="0" applyNumberFormat="1" applyFont="1" applyBorder="1"/>
    <xf numFmtId="0" fontId="5" fillId="0" borderId="13" xfId="0" applyFont="1" applyBorder="1"/>
    <xf numFmtId="2" fontId="5" fillId="0" borderId="13" xfId="0" applyNumberFormat="1" applyFont="1" applyBorder="1"/>
    <xf numFmtId="4" fontId="5" fillId="0" borderId="16" xfId="0" applyNumberFormat="1" applyFont="1" applyBorder="1"/>
    <xf numFmtId="4" fontId="5" fillId="0" borderId="13" xfId="0" applyNumberFormat="1" applyFont="1" applyBorder="1"/>
    <xf numFmtId="0" fontId="5" fillId="0" borderId="11" xfId="0" applyFont="1" applyBorder="1"/>
    <xf numFmtId="4" fontId="6" fillId="0" borderId="16" xfId="0" applyNumberFormat="1" applyFont="1" applyBorder="1"/>
    <xf numFmtId="4" fontId="6" fillId="0" borderId="13" xfId="0" applyNumberFormat="1" applyFont="1" applyBorder="1"/>
    <xf numFmtId="0" fontId="5" fillId="0" borderId="16" xfId="0" applyFont="1" applyBorder="1"/>
    <xf numFmtId="2" fontId="6" fillId="0" borderId="16" xfId="0" applyNumberFormat="1" applyFont="1" applyBorder="1"/>
    <xf numFmtId="4" fontId="5" fillId="0" borderId="11" xfId="0" applyNumberFormat="1" applyFont="1" applyBorder="1"/>
    <xf numFmtId="10" fontId="5" fillId="0" borderId="13" xfId="0" applyNumberFormat="1" applyFont="1" applyBorder="1"/>
    <xf numFmtId="4" fontId="6" fillId="0" borderId="19" xfId="0" applyNumberFormat="1" applyFont="1" applyBorder="1"/>
    <xf numFmtId="0" fontId="7" fillId="0" borderId="0" xfId="0" applyFont="1" applyAlignment="1">
      <alignment horizontal="center"/>
    </xf>
    <xf numFmtId="43" fontId="5" fillId="0" borderId="0" xfId="0" applyNumberFormat="1" applyFont="1"/>
    <xf numFmtId="0" fontId="5" fillId="0" borderId="0" xfId="0" applyFont="1" applyAlignment="1">
      <alignment horizontal="right"/>
    </xf>
    <xf numFmtId="0" fontId="2" fillId="0" borderId="0" xfId="0" applyFont="1" applyAlignment="1">
      <alignment horizontal="center" vertical="center"/>
    </xf>
    <xf numFmtId="0" fontId="6" fillId="0" borderId="0" xfId="0" applyFont="1"/>
    <xf numFmtId="0" fontId="0" fillId="0" borderId="0" xfId="0" applyFont="1"/>
    <xf numFmtId="4" fontId="6" fillId="0" borderId="0" xfId="0" applyNumberFormat="1" applyFont="1" applyAlignment="1">
      <alignment vertical="center"/>
    </xf>
    <xf numFmtId="4" fontId="6" fillId="0" borderId="0" xfId="0" applyNumberFormat="1" applyFont="1"/>
    <xf numFmtId="0" fontId="5" fillId="0" borderId="7" xfId="0" applyFont="1" applyBorder="1"/>
    <xf numFmtId="4" fontId="5" fillId="0" borderId="7" xfId="0" applyNumberFormat="1" applyFont="1" applyBorder="1"/>
    <xf numFmtId="4" fontId="5" fillId="0" borderId="0" xfId="0" applyNumberFormat="1" applyFont="1" applyAlignment="1"/>
    <xf numFmtId="0" fontId="5" fillId="0" borderId="0" xfId="0" applyFont="1" applyAlignment="1">
      <alignment horizontal="left"/>
    </xf>
    <xf numFmtId="0" fontId="6" fillId="0" borderId="2" xfId="0" applyFont="1" applyBorder="1"/>
    <xf numFmtId="4" fontId="5" fillId="0" borderId="0" xfId="0" applyNumberFormat="1" applyFont="1" applyAlignment="1">
      <alignment horizontal="right"/>
    </xf>
    <xf numFmtId="0" fontId="6" fillId="0" borderId="0" xfId="0" applyFont="1" applyAlignment="1"/>
    <xf numFmtId="9" fontId="5" fillId="0" borderId="0" xfId="0" applyNumberFormat="1" applyFont="1"/>
    <xf numFmtId="0" fontId="0" fillId="0" borderId="0" xfId="0" applyFont="1" applyAlignment="1"/>
    <xf numFmtId="0" fontId="8" fillId="0" borderId="0" xfId="0" applyFont="1" applyAlignment="1"/>
    <xf numFmtId="0" fontId="5" fillId="0" borderId="0" xfId="0" applyFont="1" applyBorder="1" applyAlignment="1"/>
    <xf numFmtId="2" fontId="6" fillId="0" borderId="0" xfId="0" applyNumberFormat="1" applyFont="1" applyBorder="1"/>
    <xf numFmtId="0" fontId="9" fillId="2" borderId="0" xfId="0" applyFont="1" applyFill="1" applyBorder="1" applyAlignment="1">
      <alignment horizontal="center" vertical="center"/>
    </xf>
    <xf numFmtId="4" fontId="0" fillId="0" borderId="0" xfId="0" applyNumberFormat="1" applyFont="1" applyAlignment="1"/>
    <xf numFmtId="4" fontId="10" fillId="0" borderId="15" xfId="0" applyNumberFormat="1" applyFont="1" applyBorder="1"/>
    <xf numFmtId="4" fontId="10" fillId="0" borderId="16" xfId="0" applyNumberFormat="1" applyFont="1" applyBorder="1"/>
    <xf numFmtId="0" fontId="5" fillId="0" borderId="0" xfId="0" applyFont="1" applyAlignment="1">
      <alignment horizontal="center"/>
    </xf>
    <xf numFmtId="0" fontId="5" fillId="0" borderId="7" xfId="0" applyFont="1" applyBorder="1" applyAlignment="1">
      <alignment horizontal="center"/>
    </xf>
    <xf numFmtId="0" fontId="6" fillId="0" borderId="0" xfId="0" applyFont="1" applyAlignment="1">
      <alignment horizontal="center"/>
    </xf>
    <xf numFmtId="0" fontId="11" fillId="0" borderId="0" xfId="0" applyFont="1" applyAlignment="1">
      <alignment horizontal="center"/>
    </xf>
    <xf numFmtId="0" fontId="6" fillId="0" borderId="0" xfId="0" applyFont="1" applyBorder="1"/>
    <xf numFmtId="0" fontId="11" fillId="0" borderId="0" xfId="0" applyFont="1"/>
    <xf numFmtId="0" fontId="7" fillId="0" borderId="0" xfId="0" applyFont="1" applyAlignment="1">
      <alignment horizontal="center"/>
    </xf>
    <xf numFmtId="0" fontId="0" fillId="0" borderId="0" xfId="0" applyFont="1" applyAlignment="1"/>
    <xf numFmtId="0" fontId="1" fillId="0" borderId="1" xfId="0" applyFont="1" applyBorder="1" applyAlignment="1">
      <alignment horizontal="left" vertical="top" wrapText="1"/>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0" xfId="0" applyFont="1" applyBorder="1" applyAlignment="1">
      <alignment horizontal="left" vertical="top"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cap="all" spc="150" baseline="0">
                <a:solidFill>
                  <a:schemeClr val="tx1">
                    <a:lumMod val="50000"/>
                    <a:lumOff val="50000"/>
                  </a:schemeClr>
                </a:solidFill>
                <a:latin typeface="+mn-lt"/>
                <a:ea typeface="+mn-ea"/>
                <a:cs typeface="+mn-cs"/>
              </a:defRPr>
            </a:pPr>
            <a:r>
              <a:rPr lang="en-IN"/>
              <a:t>Sales Growth v/s Net earnings Growth</a:t>
            </a:r>
          </a:p>
        </c:rich>
      </c:tx>
      <c:layout/>
      <c:overlay val="0"/>
      <c:spPr>
        <a:noFill/>
        <a:ln>
          <a:noFill/>
        </a:ln>
        <a:effectLst/>
      </c:spPr>
    </c:title>
    <c:autoTitleDeleted val="0"/>
    <c:plotArea>
      <c:layout>
        <c:manualLayout>
          <c:layoutTarget val="inner"/>
          <c:xMode val="edge"/>
          <c:yMode val="edge"/>
          <c:x val="0.12165258539762799"/>
          <c:y val="0.16470833333333301"/>
          <c:w val="0.851583424334732"/>
          <c:h val="0.70579101049868798"/>
        </c:manualLayout>
      </c:layout>
      <c:barChart>
        <c:barDir val="col"/>
        <c:grouping val="clustered"/>
        <c:varyColors val="1"/>
        <c:ser>
          <c:idx val="0"/>
          <c:order val="0"/>
          <c:tx>
            <c:v>Sales growth rate</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Charts!$C$2:$H$2</c:f>
              <c:strCache>
                <c:ptCount val="5"/>
                <c:pt idx="0">
                  <c:v>2019-20</c:v>
                </c:pt>
                <c:pt idx="1">
                  <c:v>2020-21</c:v>
                </c:pt>
                <c:pt idx="2">
                  <c:v>2021-22</c:v>
                </c:pt>
                <c:pt idx="3">
                  <c:v>2022-23</c:v>
                </c:pt>
                <c:pt idx="4">
                  <c:v>2023-24</c:v>
                </c:pt>
              </c:strCache>
            </c:strRef>
          </c:cat>
          <c:val>
            <c:numRef>
              <c:f>Charts!$C$3:$H$3</c:f>
              <c:numCache>
                <c:formatCode>0.00%</c:formatCode>
                <c:ptCount val="5"/>
                <c:pt idx="0">
                  <c:v>1.2E-2</c:v>
                </c:pt>
                <c:pt idx="1">
                  <c:v>0.18210000000000001</c:v>
                </c:pt>
                <c:pt idx="2">
                  <c:v>0.10044</c:v>
                </c:pt>
                <c:pt idx="3">
                  <c:v>0.109468</c:v>
                </c:pt>
                <c:pt idx="4">
                  <c:v>0.1119816</c:v>
                </c:pt>
              </c:numCache>
            </c:numRef>
          </c:val>
          <c:extLst>
            <c:ext xmlns:c16="http://schemas.microsoft.com/office/drawing/2014/chart" uri="{C3380CC4-5D6E-409C-BE32-E72D297353CC}">
              <c16:uniqueId val="{00000000-E144-42D5-9F32-7FC10A7A6A4B}"/>
            </c:ext>
          </c:extLst>
        </c:ser>
        <c:ser>
          <c:idx val="1"/>
          <c:order val="1"/>
          <c:tx>
            <c:v>Net profit growth rate</c:v>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Charts!$C$2:$H$2</c:f>
              <c:strCache>
                <c:ptCount val="5"/>
                <c:pt idx="0">
                  <c:v>2019-20</c:v>
                </c:pt>
                <c:pt idx="1">
                  <c:v>2020-21</c:v>
                </c:pt>
                <c:pt idx="2">
                  <c:v>2021-22</c:v>
                </c:pt>
                <c:pt idx="3">
                  <c:v>2022-23</c:v>
                </c:pt>
                <c:pt idx="4">
                  <c:v>2023-24</c:v>
                </c:pt>
              </c:strCache>
            </c:strRef>
          </c:cat>
          <c:val>
            <c:numRef>
              <c:f>Charts!$C$4:$H$4</c:f>
              <c:numCache>
                <c:formatCode>0.00%</c:formatCode>
                <c:ptCount val="5"/>
                <c:pt idx="0">
                  <c:v>2.5055039590797634E-2</c:v>
                </c:pt>
                <c:pt idx="1">
                  <c:v>6.8680274207914838E-3</c:v>
                </c:pt>
                <c:pt idx="2">
                  <c:v>2.9877116242041646E-3</c:v>
                </c:pt>
                <c:pt idx="3">
                  <c:v>4.8402926706536731E-2</c:v>
                </c:pt>
                <c:pt idx="4">
                  <c:v>-1.1978891256847229E-2</c:v>
                </c:pt>
              </c:numCache>
            </c:numRef>
          </c:val>
          <c:extLst>
            <c:ext xmlns:c16="http://schemas.microsoft.com/office/drawing/2014/chart" uri="{C3380CC4-5D6E-409C-BE32-E72D297353CC}">
              <c16:uniqueId val="{00000001-E144-42D5-9F32-7FC10A7A6A4B}"/>
            </c:ext>
          </c:extLst>
        </c:ser>
        <c:dLbls>
          <c:showLegendKey val="0"/>
          <c:showVal val="0"/>
          <c:showCatName val="0"/>
          <c:showSerName val="0"/>
          <c:showPercent val="0"/>
          <c:showBubbleSize val="0"/>
        </c:dLbls>
        <c:gapWidth val="164"/>
        <c:overlap val="-22"/>
        <c:axId val="40560089"/>
        <c:axId val="565280468"/>
      </c:barChart>
      <c:catAx>
        <c:axId val="40560089"/>
        <c:scaling>
          <c:orientation val="minMax"/>
        </c:scaling>
        <c:delete val="0"/>
        <c:axPos val="b"/>
        <c:title>
          <c:tx>
            <c:rich>
              <a:bodyPr/>
              <a:lstStyle/>
              <a:p>
                <a:pPr>
                  <a:defRPr/>
                </a:pPr>
                <a:endParaRPr lang="en-IN"/>
              </a:p>
            </c:rich>
          </c:tx>
          <c:layout/>
          <c:overlay val="0"/>
          <c:spPr>
            <a:noFill/>
            <a:ln>
              <a:noFill/>
            </a:ln>
            <a:effectLst/>
          </c:spPr>
        </c:title>
        <c:numFmt formatCode="General" sourceLinked="1"/>
        <c:majorTickMark val="none"/>
        <c:minorTickMark val="none"/>
        <c:tickLblPos val="nextTo"/>
        <c:spPr>
          <a:noFill/>
          <a:ln w="19050"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65280468"/>
        <c:crosses val="autoZero"/>
        <c:auto val="1"/>
        <c:lblAlgn val="ctr"/>
        <c:lblOffset val="100"/>
        <c:noMultiLvlLbl val="1"/>
      </c:catAx>
      <c:valAx>
        <c:axId val="565280468"/>
        <c:scaling>
          <c:orientation val="minMax"/>
        </c:scaling>
        <c:delete val="0"/>
        <c:axPos val="l"/>
        <c:title>
          <c:tx>
            <c:rich>
              <a:bodyPr/>
              <a:lstStyle/>
              <a:p>
                <a:pPr>
                  <a:defRPr/>
                </a:pPr>
                <a:endParaRPr lang="en-IN"/>
              </a:p>
            </c:rich>
          </c:tx>
          <c:layout/>
          <c:overlay val="0"/>
          <c:spPr>
            <a:noFill/>
            <a:ln>
              <a:noFill/>
            </a:ln>
            <a:effectLst/>
          </c:spPr>
        </c:title>
        <c:numFmt formatCode="0.0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560089"/>
        <c:crosses val="autoZero"/>
        <c:crossBetween val="between"/>
      </c:valAx>
      <c:spPr>
        <a:noFill/>
        <a:ln>
          <a:noFill/>
        </a:ln>
        <a:effectLst/>
      </c:spPr>
    </c:plotArea>
    <c:legend>
      <c:legendPos val="t"/>
      <c:layout>
        <c:manualLayout>
          <c:xMode val="edge"/>
          <c:yMode val="edge"/>
          <c:x val="0.46131492916818001"/>
          <c:y val="0.24249999999999999"/>
          <c:w val="0.31057028695967998"/>
          <c:h val="0.11375"/>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Cash</a:t>
            </a:r>
            <a:r>
              <a:rPr lang="en-IN" baseline="0"/>
              <a:t> Flow Chart</a:t>
            </a:r>
            <a:endParaRPr lang="en-IN"/>
          </a:p>
        </c:rich>
      </c:tx>
      <c:layout/>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Operating Cashflow</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Charts!$S$8:$W$8</c:f>
              <c:strCache>
                <c:ptCount val="5"/>
                <c:pt idx="0">
                  <c:v>2019-20</c:v>
                </c:pt>
                <c:pt idx="1">
                  <c:v>2020-21</c:v>
                </c:pt>
                <c:pt idx="2">
                  <c:v>2021-22</c:v>
                </c:pt>
                <c:pt idx="3">
                  <c:v>2022-23</c:v>
                </c:pt>
                <c:pt idx="4">
                  <c:v>2023-24</c:v>
                </c:pt>
              </c:strCache>
            </c:strRef>
          </c:cat>
          <c:val>
            <c:numRef>
              <c:f>Charts!$S$9:$W$9</c:f>
              <c:numCache>
                <c:formatCode>0%</c:formatCode>
                <c:ptCount val="5"/>
                <c:pt idx="0">
                  <c:v>0.97786584187125458</c:v>
                </c:pt>
                <c:pt idx="1">
                  <c:v>1.5806602450201066</c:v>
                </c:pt>
                <c:pt idx="2">
                  <c:v>1.0851347836943148</c:v>
                </c:pt>
                <c:pt idx="3">
                  <c:v>1.0545254484957918</c:v>
                </c:pt>
                <c:pt idx="4">
                  <c:v>1.0664785752796304</c:v>
                </c:pt>
              </c:numCache>
            </c:numRef>
          </c:val>
          <c:extLst>
            <c:ext xmlns:c16="http://schemas.microsoft.com/office/drawing/2014/chart" uri="{C3380CC4-5D6E-409C-BE32-E72D297353CC}">
              <c16:uniqueId val="{00000000-7A78-454F-92A1-DE1067EE7DD5}"/>
            </c:ext>
          </c:extLst>
        </c:ser>
        <c:ser>
          <c:idx val="1"/>
          <c:order val="1"/>
          <c:tx>
            <c:v>Financing Cashflow</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Charts!$S$8:$W$8</c:f>
              <c:strCache>
                <c:ptCount val="5"/>
                <c:pt idx="0">
                  <c:v>2019-20</c:v>
                </c:pt>
                <c:pt idx="1">
                  <c:v>2020-21</c:v>
                </c:pt>
                <c:pt idx="2">
                  <c:v>2021-22</c:v>
                </c:pt>
                <c:pt idx="3">
                  <c:v>2022-23</c:v>
                </c:pt>
                <c:pt idx="4">
                  <c:v>2023-24</c:v>
                </c:pt>
              </c:strCache>
            </c:strRef>
          </c:cat>
          <c:val>
            <c:numRef>
              <c:f>Charts!$S$10:$W$10</c:f>
              <c:numCache>
                <c:formatCode>0%</c:formatCode>
                <c:ptCount val="5"/>
                <c:pt idx="0">
                  <c:v>-2.3004059539918808E-2</c:v>
                </c:pt>
                <c:pt idx="1">
                  <c:v>-1.2905639203217058E-2</c:v>
                </c:pt>
                <c:pt idx="2">
                  <c:v>3.7159970445934942E-2</c:v>
                </c:pt>
                <c:pt idx="3">
                  <c:v>7.1652743732913398E-3</c:v>
                </c:pt>
                <c:pt idx="4">
                  <c:v>-7.399052013372829E-4</c:v>
                </c:pt>
              </c:numCache>
            </c:numRef>
          </c:val>
          <c:extLst>
            <c:ext xmlns:c16="http://schemas.microsoft.com/office/drawing/2014/chart" uri="{C3380CC4-5D6E-409C-BE32-E72D297353CC}">
              <c16:uniqueId val="{00000001-7A78-454F-92A1-DE1067EE7DD5}"/>
            </c:ext>
          </c:extLst>
        </c:ser>
        <c:ser>
          <c:idx val="2"/>
          <c:order val="2"/>
          <c:tx>
            <c:v>Investing Cashflow</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Charts!$S$8:$W$8</c:f>
              <c:strCache>
                <c:ptCount val="5"/>
                <c:pt idx="0">
                  <c:v>2019-20</c:v>
                </c:pt>
                <c:pt idx="1">
                  <c:v>2020-21</c:v>
                </c:pt>
                <c:pt idx="2">
                  <c:v>2021-22</c:v>
                </c:pt>
                <c:pt idx="3">
                  <c:v>2022-23</c:v>
                </c:pt>
                <c:pt idx="4">
                  <c:v>2023-24</c:v>
                </c:pt>
              </c:strCache>
            </c:strRef>
          </c:cat>
          <c:val>
            <c:numRef>
              <c:f>Charts!$S$11:$W$11</c:f>
              <c:numCache>
                <c:formatCode>0%</c:formatCode>
                <c:ptCount val="5"/>
                <c:pt idx="0">
                  <c:v>4.5138217668664216E-2</c:v>
                </c:pt>
                <c:pt idx="1">
                  <c:v>-0.56775460581688952</c:v>
                </c:pt>
                <c:pt idx="2">
                  <c:v>-0.12229475414024985</c:v>
                </c:pt>
                <c:pt idx="3">
                  <c:v>-6.1690722869083239E-2</c:v>
                </c:pt>
                <c:pt idx="4">
                  <c:v>-6.5738670078293177E-2</c:v>
                </c:pt>
              </c:numCache>
            </c:numRef>
          </c:val>
          <c:extLst>
            <c:ext xmlns:c16="http://schemas.microsoft.com/office/drawing/2014/chart" uri="{C3380CC4-5D6E-409C-BE32-E72D297353CC}">
              <c16:uniqueId val="{00000002-7A78-454F-92A1-DE1067EE7DD5}"/>
            </c:ext>
          </c:extLst>
        </c:ser>
        <c:dLbls>
          <c:showLegendKey val="0"/>
          <c:showVal val="1"/>
          <c:showCatName val="0"/>
          <c:showSerName val="0"/>
          <c:showPercent val="0"/>
          <c:showBubbleSize val="0"/>
        </c:dLbls>
        <c:gapWidth val="100"/>
        <c:overlap val="-24"/>
        <c:axId val="1396171135"/>
        <c:axId val="1396175711"/>
      </c:barChart>
      <c:catAx>
        <c:axId val="1396171135"/>
        <c:scaling>
          <c:orientation val="minMax"/>
        </c:scaling>
        <c:delete val="0"/>
        <c:axPos val="b"/>
        <c:title>
          <c:tx>
            <c:rich>
              <a:bodyPr rot="0" spcFirstLastPara="1" vertOverflow="ellipsis" vert="horz" wrap="square" anchor="ctr" anchorCtr="1"/>
              <a:lstStyle/>
              <a:p>
                <a:pPr>
                  <a:defRPr lang="en-US" sz="900" b="1" i="0" u="none" strike="noStrike" kern="1200" cap="all" baseline="0">
                    <a:solidFill>
                      <a:schemeClr val="lt1">
                        <a:lumMod val="85000"/>
                      </a:schemeClr>
                    </a:solidFill>
                    <a:latin typeface="+mn-lt"/>
                    <a:ea typeface="+mn-ea"/>
                    <a:cs typeface="+mn-cs"/>
                  </a:defRPr>
                </a:pPr>
                <a:r>
                  <a:rPr lang="en-IN"/>
                  <a:t>years</a:t>
                </a:r>
              </a:p>
            </c:rich>
          </c:tx>
          <c:layout/>
          <c:overlay val="0"/>
          <c:spPr>
            <a:noFill/>
            <a:ln>
              <a:noFill/>
            </a:ln>
            <a:effectLst/>
          </c:spPr>
          <c:txPr>
            <a:bodyPr rot="0" spcFirstLastPara="1" vertOverflow="ellipsis" vert="horz" wrap="square" anchor="ctr" anchorCtr="1"/>
            <a:lstStyle/>
            <a:p>
              <a:pPr>
                <a:defRPr lang="en-US"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0" spcFirstLastPara="1" vertOverflow="ellipsis" wrap="square" anchor="b" anchorCtr="0"/>
          <a:lstStyle/>
          <a:p>
            <a:pPr>
              <a:defRPr lang="en-US" sz="900" b="0" i="0" u="none" strike="noStrike" kern="1200" baseline="0">
                <a:solidFill>
                  <a:schemeClr val="lt1">
                    <a:lumMod val="85000"/>
                  </a:schemeClr>
                </a:solidFill>
                <a:latin typeface="+mn-lt"/>
                <a:ea typeface="+mn-ea"/>
                <a:cs typeface="+mn-cs"/>
              </a:defRPr>
            </a:pPr>
            <a:endParaRPr lang="en-US"/>
          </a:p>
        </c:txPr>
        <c:crossAx val="1396175711"/>
        <c:crosses val="autoZero"/>
        <c:auto val="1"/>
        <c:lblAlgn val="ctr"/>
        <c:lblOffset val="100"/>
        <c:noMultiLvlLbl val="0"/>
      </c:catAx>
      <c:valAx>
        <c:axId val="13961757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lang="en-US" sz="900" b="1" i="0" u="none" strike="noStrike" kern="1200" cap="all" baseline="0">
                    <a:solidFill>
                      <a:schemeClr val="lt1">
                        <a:lumMod val="85000"/>
                      </a:schemeClr>
                    </a:solidFill>
                    <a:latin typeface="+mn-lt"/>
                    <a:ea typeface="+mn-ea"/>
                    <a:cs typeface="+mn-cs"/>
                  </a:defRPr>
                </a:pPr>
                <a:r>
                  <a:rPr lang="en-IN"/>
                  <a:t>%</a:t>
                </a:r>
                <a:r>
                  <a:rPr lang="en-IN" baseline="0"/>
                  <a:t> of Cashflow</a:t>
                </a:r>
                <a:endParaRPr lang="en-IN"/>
              </a:p>
            </c:rich>
          </c:tx>
          <c:layout/>
          <c:overlay val="0"/>
          <c:spPr>
            <a:noFill/>
            <a:ln>
              <a:noFill/>
            </a:ln>
            <a:effectLst/>
          </c:spPr>
          <c:txPr>
            <a:bodyPr rot="-5400000" spcFirstLastPara="1" vertOverflow="ellipsis" vert="horz" wrap="square" anchor="ctr" anchorCtr="1"/>
            <a:lstStyle/>
            <a:p>
              <a:pPr>
                <a:defRPr lang="en-US"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3961711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Charts!$J$5</c:f>
              <c:strCache>
                <c:ptCount val="1"/>
                <c:pt idx="0">
                  <c:v>Return on Capital Employed</c:v>
                </c:pt>
              </c:strCache>
            </c:strRef>
          </c:tx>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Charts!$K$2:$P$2</c:f>
              <c:strCache>
                <c:ptCount val="6"/>
                <c:pt idx="0">
                  <c:v>2018-19</c:v>
                </c:pt>
                <c:pt idx="1">
                  <c:v>2019-20</c:v>
                </c:pt>
                <c:pt idx="2">
                  <c:v>2020-21</c:v>
                </c:pt>
                <c:pt idx="3">
                  <c:v>2021-22</c:v>
                </c:pt>
                <c:pt idx="4">
                  <c:v>2022-23</c:v>
                </c:pt>
                <c:pt idx="5">
                  <c:v>2023-24</c:v>
                </c:pt>
              </c:strCache>
            </c:strRef>
          </c:cat>
          <c:val>
            <c:numRef>
              <c:f>Charts!$K$5:$P$5</c:f>
              <c:numCache>
                <c:formatCode>0.00%</c:formatCode>
                <c:ptCount val="6"/>
                <c:pt idx="0">
                  <c:v>0.54842734257009651</c:v>
                </c:pt>
                <c:pt idx="1">
                  <c:v>0.5376492194674013</c:v>
                </c:pt>
                <c:pt idx="2">
                  <c:v>0.38243986254295531</c:v>
                </c:pt>
                <c:pt idx="3">
                  <c:v>0.34841363374714085</c:v>
                </c:pt>
                <c:pt idx="4">
                  <c:v>0.36307208346089476</c:v>
                </c:pt>
                <c:pt idx="5">
                  <c:v>0.30168369398857592</c:v>
                </c:pt>
              </c:numCache>
            </c:numRef>
          </c:val>
          <c:smooth val="0"/>
          <c:extLst>
            <c:ext xmlns:c16="http://schemas.microsoft.com/office/drawing/2014/chart" uri="{C3380CC4-5D6E-409C-BE32-E72D297353CC}">
              <c16:uniqueId val="{00000000-53C2-4382-93CB-E9297434838A}"/>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76624447"/>
        <c:axId val="1576632767"/>
      </c:lineChart>
      <c:catAx>
        <c:axId val="1576624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spc="30" baseline="0">
                <a:solidFill>
                  <a:schemeClr val="lt1"/>
                </a:solidFill>
                <a:latin typeface="+mn-lt"/>
                <a:ea typeface="+mn-ea"/>
                <a:cs typeface="+mn-cs"/>
              </a:defRPr>
            </a:pPr>
            <a:endParaRPr lang="en-US"/>
          </a:p>
        </c:txPr>
        <c:crossAx val="1576632767"/>
        <c:crosses val="autoZero"/>
        <c:auto val="1"/>
        <c:lblAlgn val="ctr"/>
        <c:lblOffset val="100"/>
        <c:noMultiLvlLbl val="0"/>
      </c:catAx>
      <c:valAx>
        <c:axId val="1576632767"/>
        <c:scaling>
          <c:orientation val="minMax"/>
        </c:scaling>
        <c:delete val="1"/>
        <c:axPos val="l"/>
        <c:numFmt formatCode="0.00%" sourceLinked="1"/>
        <c:majorTickMark val="none"/>
        <c:minorTickMark val="none"/>
        <c:tickLblPos val="nextTo"/>
        <c:crossAx val="157662444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647700</xdr:colOff>
      <xdr:row>5</xdr:row>
      <xdr:rowOff>171450</xdr:rowOff>
    </xdr:from>
    <xdr:ext cx="5219700" cy="3048000"/>
    <xdr:graphicFrame macro="">
      <xdr:nvGraphicFramePr>
        <xdr:cNvPr id="850084646"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17</xdr:col>
      <xdr:colOff>53340</xdr:colOff>
      <xdr:row>13</xdr:row>
      <xdr:rowOff>0</xdr:rowOff>
    </xdr:from>
    <xdr:to>
      <xdr:col>23</xdr:col>
      <xdr:colOff>106680</xdr:colOff>
      <xdr:row>30</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xdr:row>
      <xdr:rowOff>129540</xdr:rowOff>
    </xdr:from>
    <xdr:to>
      <xdr:col>15</xdr:col>
      <xdr:colOff>655320</xdr:colOff>
      <xdr:row>21</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FF8119"/>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000"/>
  <sheetViews>
    <sheetView workbookViewId="0">
      <selection activeCell="G25" sqref="G25"/>
    </sheetView>
  </sheetViews>
  <sheetFormatPr defaultColWidth="12.59765625" defaultRowHeight="15" customHeight="1"/>
  <cols>
    <col min="1" max="1" width="7.59765625" customWidth="1"/>
    <col min="2" max="2" width="23" customWidth="1"/>
    <col min="3" max="3" width="5.296875" style="68" bestFit="1" customWidth="1"/>
    <col min="4" max="6" width="10.5" customWidth="1"/>
    <col min="7" max="7" width="10.3984375" customWidth="1"/>
    <col min="8" max="8" width="11.19921875" customWidth="1"/>
    <col min="9" max="9" width="11.5" customWidth="1"/>
    <col min="10" max="28" width="7.59765625" customWidth="1"/>
  </cols>
  <sheetData>
    <row r="1" spans="1:18" ht="15" customHeight="1">
      <c r="B1" s="82" t="s">
        <v>0</v>
      </c>
      <c r="C1" s="82"/>
      <c r="D1" s="83"/>
    </row>
    <row r="2" spans="1:18" ht="14.25" customHeight="1">
      <c r="F2" s="54" t="s">
        <v>1</v>
      </c>
    </row>
    <row r="3" spans="1:18" ht="14.25" customHeight="1">
      <c r="B3" s="2" t="s">
        <v>2</v>
      </c>
      <c r="C3" s="72" t="s">
        <v>126</v>
      </c>
      <c r="D3" s="2" t="s">
        <v>3</v>
      </c>
      <c r="E3" s="2" t="s">
        <v>4</v>
      </c>
      <c r="F3" s="2" t="s">
        <v>5</v>
      </c>
      <c r="G3" s="3" t="s">
        <v>6</v>
      </c>
      <c r="H3" s="3" t="s">
        <v>7</v>
      </c>
      <c r="I3" s="3" t="s">
        <v>8</v>
      </c>
      <c r="J3" s="21"/>
    </row>
    <row r="4" spans="1:18" ht="14.25" customHeight="1">
      <c r="B4" s="21"/>
      <c r="C4" s="21"/>
      <c r="D4" s="21"/>
      <c r="E4" s="21"/>
      <c r="F4" s="21"/>
      <c r="G4" s="21"/>
      <c r="H4" s="21"/>
      <c r="I4" s="21"/>
      <c r="J4" s="21"/>
      <c r="K4" s="21"/>
    </row>
    <row r="5" spans="1:18" ht="14.25" customHeight="1">
      <c r="B5" s="56" t="s">
        <v>9</v>
      </c>
      <c r="C5" s="79">
        <v>1</v>
      </c>
      <c r="D5" s="28">
        <v>39310</v>
      </c>
      <c r="E5" s="28">
        <v>39783</v>
      </c>
      <c r="F5" s="28">
        <v>47028</v>
      </c>
      <c r="G5" s="28">
        <f>Workings!G8</f>
        <v>51751.492319999998</v>
      </c>
      <c r="H5" s="28">
        <f>Workings!H8</f>
        <v>57416.624681285757</v>
      </c>
      <c r="I5" s="28">
        <f>Workings!I8</f>
        <v>63846.230179695631</v>
      </c>
      <c r="J5" s="28"/>
    </row>
    <row r="6" spans="1:18" ht="14.25" customHeight="1">
      <c r="B6" s="56" t="s">
        <v>10</v>
      </c>
      <c r="C6" s="56"/>
      <c r="D6" s="28"/>
      <c r="E6" s="28"/>
      <c r="F6" s="28"/>
      <c r="G6" s="28"/>
      <c r="H6" s="28"/>
      <c r="I6" s="28"/>
      <c r="J6" s="28"/>
    </row>
    <row r="7" spans="1:18" ht="14.25" customHeight="1">
      <c r="B7" s="21" t="s">
        <v>11</v>
      </c>
      <c r="C7" s="76">
        <v>4</v>
      </c>
      <c r="D7" s="28">
        <v>15845</v>
      </c>
      <c r="E7" s="28">
        <v>15697</v>
      </c>
      <c r="F7" s="28">
        <v>20141</v>
      </c>
      <c r="G7" s="28">
        <f>Workings!G24</f>
        <v>24130.715652372171</v>
      </c>
      <c r="H7" s="28">
        <f>Workings!H24</f>
        <v>26772.256833406049</v>
      </c>
      <c r="I7" s="28">
        <f>Workings!I24</f>
        <v>29770.256989221791</v>
      </c>
      <c r="J7" s="28"/>
    </row>
    <row r="8" spans="1:18" ht="14.25" customHeight="1">
      <c r="B8" s="21" t="s">
        <v>12</v>
      </c>
      <c r="C8" s="76">
        <v>6</v>
      </c>
      <c r="D8" s="28">
        <v>308</v>
      </c>
      <c r="E8" s="28">
        <v>299</v>
      </c>
      <c r="F8" s="28">
        <v>339</v>
      </c>
      <c r="G8" s="28">
        <f>Workings!G36</f>
        <v>352.56</v>
      </c>
      <c r="H8" s="28">
        <f>Workings!H36</f>
        <v>367.22174999999999</v>
      </c>
      <c r="I8" s="28">
        <f>Workings!I36</f>
        <v>408.501102</v>
      </c>
      <c r="J8" s="28"/>
      <c r="K8" s="28"/>
      <c r="L8" s="28"/>
      <c r="M8" s="28"/>
      <c r="N8" s="28"/>
      <c r="O8" s="28"/>
      <c r="P8" s="28"/>
      <c r="Q8" s="28"/>
      <c r="R8" s="28"/>
    </row>
    <row r="9" spans="1:18" ht="14.25" customHeight="1">
      <c r="B9" s="21" t="s">
        <v>13</v>
      </c>
      <c r="C9" s="76"/>
      <c r="D9" s="28">
        <v>3041</v>
      </c>
      <c r="E9" s="28">
        <v>2906</v>
      </c>
      <c r="F9" s="28">
        <v>2868</v>
      </c>
      <c r="G9" s="28">
        <f>F9-F9*2/100</f>
        <v>2810.64</v>
      </c>
      <c r="H9" s="28">
        <f t="shared" ref="H9:I9" si="0">G9-G9*0.5/100</f>
        <v>2796.5868</v>
      </c>
      <c r="I9" s="28">
        <f t="shared" si="0"/>
        <v>2782.6038659999999</v>
      </c>
      <c r="J9" s="28"/>
      <c r="K9" s="28"/>
      <c r="L9" s="28"/>
      <c r="M9" s="28"/>
      <c r="N9" s="28"/>
      <c r="O9" s="28"/>
      <c r="P9" s="28"/>
      <c r="Q9" s="28"/>
      <c r="R9" s="28"/>
    </row>
    <row r="10" spans="1:18" ht="14.25" customHeight="1">
      <c r="B10" s="21" t="s">
        <v>14</v>
      </c>
      <c r="C10" s="76"/>
      <c r="D10" s="28">
        <v>1875</v>
      </c>
      <c r="E10" s="28">
        <v>1820</v>
      </c>
      <c r="F10" s="28">
        <v>2358</v>
      </c>
      <c r="G10" s="28">
        <f t="shared" ref="G10:I10" si="1">F10+F10*1.5/100</f>
        <v>2393.37</v>
      </c>
      <c r="H10" s="28">
        <f t="shared" si="1"/>
        <v>2429.2705499999997</v>
      </c>
      <c r="I10" s="28">
        <f t="shared" si="1"/>
        <v>2465.7096082499997</v>
      </c>
      <c r="J10" s="28"/>
      <c r="K10" s="28"/>
      <c r="L10" s="28"/>
      <c r="M10" s="28"/>
      <c r="N10" s="28"/>
      <c r="O10" s="28"/>
      <c r="P10" s="28"/>
      <c r="Q10" s="28"/>
      <c r="R10" s="28"/>
    </row>
    <row r="11" spans="1:18" ht="14.25" customHeight="1">
      <c r="B11" s="21" t="s">
        <v>15</v>
      </c>
      <c r="C11" s="76"/>
      <c r="D11" s="28">
        <v>1553</v>
      </c>
      <c r="E11" s="28">
        <v>1696</v>
      </c>
      <c r="F11" s="28">
        <v>2196</v>
      </c>
      <c r="G11" s="65">
        <f t="shared" ref="G11:H11" si="2">F11-F11*2.5/100</f>
        <v>2141.1</v>
      </c>
      <c r="H11" s="28">
        <f t="shared" si="2"/>
        <v>2087.5724999999998</v>
      </c>
      <c r="I11" s="28">
        <f>H11-H11*2.5/100</f>
        <v>2035.3831874999998</v>
      </c>
      <c r="J11" s="28"/>
      <c r="K11" s="28"/>
      <c r="L11" s="28"/>
      <c r="M11" s="28"/>
      <c r="N11" s="28"/>
      <c r="O11" s="28"/>
      <c r="P11" s="28"/>
      <c r="Q11" s="28"/>
      <c r="R11" s="28"/>
    </row>
    <row r="12" spans="1:18" ht="14.25" customHeight="1">
      <c r="B12" s="21" t="s">
        <v>16</v>
      </c>
      <c r="C12" s="76"/>
      <c r="D12" s="28">
        <v>7796</v>
      </c>
      <c r="E12" s="28">
        <v>7620</v>
      </c>
      <c r="F12" s="28">
        <v>7906</v>
      </c>
      <c r="G12" s="28">
        <f>F12-3378.71</f>
        <v>4527.29</v>
      </c>
      <c r="H12" s="28">
        <f>G12</f>
        <v>4527.29</v>
      </c>
      <c r="I12" s="28">
        <f>G12</f>
        <v>4527.29</v>
      </c>
      <c r="J12" s="28"/>
      <c r="K12" s="28"/>
      <c r="L12" s="28"/>
      <c r="M12" s="28"/>
      <c r="N12" s="28"/>
      <c r="O12" s="28"/>
      <c r="P12" s="28"/>
      <c r="Q12" s="28"/>
      <c r="R12" s="28"/>
    </row>
    <row r="13" spans="1:18" ht="14.25" customHeight="1">
      <c r="A13" s="59" t="s">
        <v>17</v>
      </c>
      <c r="B13" s="21" t="s">
        <v>18</v>
      </c>
      <c r="C13" s="76"/>
      <c r="D13" s="28">
        <v>-12</v>
      </c>
      <c r="E13" s="28">
        <f>'Balance Sheet'!E18-'Balance Sheet'!D18</f>
        <v>193</v>
      </c>
      <c r="F13" s="28">
        <f>'Balance Sheet'!F18-'Balance Sheet'!E18</f>
        <v>812</v>
      </c>
      <c r="G13" s="28">
        <f>'Balance Sheet'!G18-'Balance Sheet'!F18</f>
        <v>-885.09184000000005</v>
      </c>
      <c r="H13" s="28">
        <f>'Balance Sheet'!H18-'Balance Sheet'!G18</f>
        <v>1571.7745504588802</v>
      </c>
      <c r="I13" s="28">
        <f>'Balance Sheet'!I18-'Balance Sheet'!H18</f>
        <v>-792.428429439502</v>
      </c>
      <c r="J13" s="28"/>
      <c r="K13" s="28"/>
      <c r="L13" s="28"/>
      <c r="M13" s="28"/>
      <c r="N13" s="28"/>
      <c r="O13" s="28"/>
      <c r="P13" s="28"/>
      <c r="Q13" s="28"/>
      <c r="R13" s="28"/>
    </row>
    <row r="14" spans="1:18" ht="14.25" customHeight="1">
      <c r="B14" s="60" t="s">
        <v>19</v>
      </c>
      <c r="C14" s="77"/>
      <c r="D14" s="61">
        <f t="shared" ref="D14:F14" si="3">SUM(D7:D12,-1*D13)</f>
        <v>30430</v>
      </c>
      <c r="E14" s="61">
        <f t="shared" si="3"/>
        <v>29845</v>
      </c>
      <c r="F14" s="61">
        <f t="shared" si="3"/>
        <v>34996</v>
      </c>
      <c r="G14" s="61">
        <f t="shared" ref="G14:H14" si="4">SUM(G7:G12)-1*G13</f>
        <v>37240.767492372172</v>
      </c>
      <c r="H14" s="61">
        <f t="shared" si="4"/>
        <v>37408.423882947172</v>
      </c>
      <c r="I14" s="61">
        <f>SUM(I7:I12)-1*I13</f>
        <v>42782.173182411294</v>
      </c>
      <c r="J14" s="28"/>
      <c r="K14" s="28"/>
      <c r="L14" s="28"/>
      <c r="M14" s="28"/>
      <c r="N14" s="28"/>
      <c r="O14" s="28"/>
      <c r="P14" s="28"/>
      <c r="Q14" s="28"/>
      <c r="R14" s="28"/>
    </row>
    <row r="15" spans="1:18" ht="14.25" customHeight="1">
      <c r="B15" s="56" t="s">
        <v>20</v>
      </c>
      <c r="C15" s="78"/>
      <c r="D15" s="59">
        <f t="shared" ref="D15:H15" si="5">D5-D14</f>
        <v>8880</v>
      </c>
      <c r="E15" s="59">
        <f t="shared" si="5"/>
        <v>9938</v>
      </c>
      <c r="F15" s="59">
        <f t="shared" si="5"/>
        <v>12032</v>
      </c>
      <c r="G15" s="59">
        <f t="shared" si="5"/>
        <v>14510.724827627826</v>
      </c>
      <c r="H15" s="59">
        <f t="shared" si="5"/>
        <v>20008.200798338585</v>
      </c>
      <c r="I15" s="59">
        <f>I5-I14</f>
        <v>21064.056997284337</v>
      </c>
      <c r="J15" s="28"/>
      <c r="K15" s="28"/>
      <c r="L15" s="28"/>
      <c r="M15" s="28"/>
      <c r="N15" s="28"/>
      <c r="O15" s="28"/>
      <c r="P15" s="28"/>
      <c r="Q15" s="28"/>
      <c r="R15" s="28"/>
    </row>
    <row r="16" spans="1:18" ht="14.25" customHeight="1">
      <c r="B16" s="21" t="s">
        <v>21</v>
      </c>
      <c r="C16" s="76"/>
      <c r="D16" s="28">
        <v>322</v>
      </c>
      <c r="E16" s="28">
        <v>432</v>
      </c>
      <c r="F16" s="28">
        <v>171</v>
      </c>
      <c r="G16" s="28">
        <f t="shared" ref="G16:I16" si="6">F16</f>
        <v>171</v>
      </c>
      <c r="H16" s="28">
        <f t="shared" si="6"/>
        <v>171</v>
      </c>
      <c r="I16" s="28">
        <f t="shared" si="6"/>
        <v>171</v>
      </c>
      <c r="J16" s="28"/>
      <c r="K16" s="28"/>
      <c r="L16" s="28"/>
      <c r="M16" s="28"/>
      <c r="N16" s="28"/>
      <c r="O16" s="28"/>
      <c r="P16" s="28"/>
      <c r="Q16" s="28"/>
      <c r="R16" s="28"/>
    </row>
    <row r="17" spans="2:10" ht="14.25" customHeight="1">
      <c r="B17" s="21" t="s">
        <v>22</v>
      </c>
      <c r="C17" s="76">
        <v>7</v>
      </c>
      <c r="D17" s="62">
        <v>850</v>
      </c>
      <c r="E17" s="28">
        <v>1002</v>
      </c>
      <c r="F17" s="28">
        <v>1074</v>
      </c>
      <c r="G17" s="28">
        <f>Workings!G49</f>
        <v>1122.7316630930045</v>
      </c>
      <c r="H17" s="28">
        <f>Workings!H49</f>
        <v>1156.9213603156541</v>
      </c>
      <c r="I17" s="28">
        <f>Workings!I49</f>
        <v>1178.6057260379457</v>
      </c>
      <c r="J17" s="28"/>
    </row>
    <row r="18" spans="2:10" ht="14.25" customHeight="1">
      <c r="B18" s="63" t="s">
        <v>23</v>
      </c>
      <c r="C18" s="76">
        <v>8</v>
      </c>
      <c r="D18" s="62">
        <v>54</v>
      </c>
      <c r="E18" s="62">
        <v>139</v>
      </c>
      <c r="F18" s="62">
        <v>138</v>
      </c>
      <c r="G18" s="28">
        <f>F18-F18*15/100+Workings!G61</f>
        <v>156.41039999999998</v>
      </c>
      <c r="H18" s="28">
        <f>117.3+Workings!H61</f>
        <v>182.3532060128652</v>
      </c>
      <c r="I18" s="28">
        <f>117.3+Workings!I61</f>
        <v>199.38145372559214</v>
      </c>
      <c r="J18" s="28"/>
    </row>
    <row r="19" spans="2:10" ht="14.25" customHeight="1">
      <c r="B19" s="56" t="s">
        <v>24</v>
      </c>
      <c r="C19" s="78"/>
      <c r="D19" s="28">
        <f t="shared" ref="D19:I19" si="7">D15+D16-D17-D18</f>
        <v>8298</v>
      </c>
      <c r="E19" s="28">
        <f t="shared" si="7"/>
        <v>9229</v>
      </c>
      <c r="F19" s="28">
        <f t="shared" si="7"/>
        <v>10991</v>
      </c>
      <c r="G19" s="28">
        <f t="shared" si="7"/>
        <v>13402.582764534822</v>
      </c>
      <c r="H19" s="28">
        <f t="shared" si="7"/>
        <v>18839.926232010068</v>
      </c>
      <c r="I19" s="28">
        <f t="shared" si="7"/>
        <v>19857.069817520798</v>
      </c>
      <c r="J19" s="28"/>
    </row>
    <row r="20" spans="2:10" ht="14.25" customHeight="1">
      <c r="B20" s="60" t="s">
        <v>25</v>
      </c>
      <c r="C20" s="77"/>
      <c r="D20" s="61">
        <v>2544</v>
      </c>
      <c r="E20" s="61">
        <v>2409</v>
      </c>
      <c r="F20" s="61">
        <v>2606</v>
      </c>
      <c r="G20" s="61">
        <f t="shared" ref="G20:I20" si="8">G19*30/100</f>
        <v>4020.7748293604463</v>
      </c>
      <c r="H20" s="61">
        <f t="shared" si="8"/>
        <v>5651.9778696030207</v>
      </c>
      <c r="I20" s="61">
        <f t="shared" si="8"/>
        <v>5957.1209452562398</v>
      </c>
      <c r="J20" s="28"/>
    </row>
    <row r="21" spans="2:10" ht="14.25" customHeight="1">
      <c r="B21" s="56" t="s">
        <v>26</v>
      </c>
      <c r="C21" s="56"/>
      <c r="D21" s="59">
        <f t="shared" ref="D21:I21" si="9">D19-D20</f>
        <v>5754</v>
      </c>
      <c r="E21" s="59">
        <f t="shared" si="9"/>
        <v>6820</v>
      </c>
      <c r="F21" s="59">
        <f t="shared" si="9"/>
        <v>8385</v>
      </c>
      <c r="G21" s="59">
        <f t="shared" si="9"/>
        <v>9381.8079351743763</v>
      </c>
      <c r="H21" s="59">
        <f t="shared" si="9"/>
        <v>13187.948362407047</v>
      </c>
      <c r="I21" s="59">
        <f t="shared" si="9"/>
        <v>13899.948872264558</v>
      </c>
      <c r="J21" s="28"/>
    </row>
    <row r="22" spans="2:10" ht="14.25" customHeight="1"/>
    <row r="23" spans="2:10" ht="14.25" customHeight="1">
      <c r="B23" s="66" t="s">
        <v>27</v>
      </c>
      <c r="C23" s="66"/>
      <c r="D23" s="67">
        <f t="shared" ref="D23:I23" si="10">D15/D5</f>
        <v>0.2258967183922666</v>
      </c>
      <c r="E23" s="67">
        <f t="shared" si="10"/>
        <v>0.24980519317296332</v>
      </c>
      <c r="F23" s="67">
        <f t="shared" si="10"/>
        <v>0.25584758016500808</v>
      </c>
      <c r="G23" s="67">
        <f t="shared" si="10"/>
        <v>0.28039239405701116</v>
      </c>
      <c r="H23" s="67">
        <f t="shared" si="10"/>
        <v>0.34847399876607538</v>
      </c>
      <c r="I23" s="67">
        <f t="shared" si="10"/>
        <v>0.32991857057181623</v>
      </c>
    </row>
    <row r="24" spans="2:10" ht="14.25" customHeight="1"/>
    <row r="25" spans="2:10" ht="14.25" customHeight="1"/>
    <row r="26" spans="2:10" ht="14.25" customHeight="1"/>
    <row r="27" spans="2:10" ht="14.25" customHeight="1"/>
    <row r="28" spans="2:10" ht="14.25" customHeight="1"/>
    <row r="29" spans="2:10" ht="14.25" customHeight="1"/>
    <row r="30" spans="2:10" ht="14.25" customHeight="1"/>
    <row r="31" spans="2:10" ht="14.25" customHeight="1"/>
    <row r="32" spans="2: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D1"/>
  </mergeCells>
  <printOptions gridLines="1"/>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997"/>
  <sheetViews>
    <sheetView topLeftCell="A2" workbookViewId="0">
      <selection activeCell="I25" sqref="I25"/>
    </sheetView>
  </sheetViews>
  <sheetFormatPr defaultColWidth="12.59765625" defaultRowHeight="15" customHeight="1"/>
  <cols>
    <col min="1" max="1" width="7.59765625" customWidth="1"/>
    <col min="2" max="2" width="24.69921875" customWidth="1"/>
    <col min="3" max="3" width="5.296875" style="68" bestFit="1" customWidth="1"/>
    <col min="4" max="6" width="13.5" customWidth="1"/>
    <col min="7" max="7" width="13.3984375" customWidth="1"/>
    <col min="8" max="8" width="13.19921875" customWidth="1"/>
    <col min="9" max="9" width="13.59765625" customWidth="1"/>
    <col min="10" max="10" width="7.59765625" customWidth="1"/>
    <col min="11" max="11" width="8.5" bestFit="1" customWidth="1"/>
    <col min="12" max="27" width="7.59765625" customWidth="1"/>
  </cols>
  <sheetData>
    <row r="1" spans="2:13" ht="14.25" customHeight="1">
      <c r="B1" s="82" t="str">
        <f>'Profit &amp; Loss'!B1</f>
        <v>GRIVA PRIVATE LTD.</v>
      </c>
      <c r="C1" s="82"/>
      <c r="D1" s="83"/>
    </row>
    <row r="2" spans="2:13" ht="14.25" customHeight="1">
      <c r="F2" s="54" t="s">
        <v>1</v>
      </c>
    </row>
    <row r="3" spans="2:13" ht="14.25" customHeight="1">
      <c r="B3" s="2" t="s">
        <v>2</v>
      </c>
      <c r="C3" s="72" t="s">
        <v>126</v>
      </c>
      <c r="D3" s="2" t="s">
        <v>3</v>
      </c>
      <c r="E3" s="2" t="s">
        <v>4</v>
      </c>
      <c r="F3" s="2" t="s">
        <v>5</v>
      </c>
      <c r="G3" s="3" t="s">
        <v>6</v>
      </c>
      <c r="H3" s="3" t="s">
        <v>7</v>
      </c>
      <c r="I3" s="3" t="s">
        <v>8</v>
      </c>
    </row>
    <row r="4" spans="2:13" ht="14.25" customHeight="1">
      <c r="B4" s="55"/>
      <c r="C4" s="55"/>
      <c r="D4" s="55"/>
      <c r="E4" s="55"/>
      <c r="F4" s="55"/>
    </row>
    <row r="5" spans="2:13" ht="14.25" customHeight="1">
      <c r="B5" s="21" t="s">
        <v>28</v>
      </c>
      <c r="C5" s="21"/>
      <c r="D5" s="28">
        <v>216</v>
      </c>
      <c r="E5" s="28">
        <v>216</v>
      </c>
      <c r="F5" s="28">
        <v>235</v>
      </c>
      <c r="G5" s="28">
        <v>235</v>
      </c>
      <c r="H5" s="28">
        <v>235</v>
      </c>
      <c r="I5" s="28">
        <v>235</v>
      </c>
    </row>
    <row r="6" spans="2:13" ht="14.25" customHeight="1">
      <c r="B6" s="21" t="s">
        <v>29</v>
      </c>
      <c r="C6" s="21"/>
      <c r="D6" s="28">
        <v>14914</v>
      </c>
      <c r="E6" s="28">
        <v>17208</v>
      </c>
      <c r="F6" s="28">
        <v>28865</v>
      </c>
      <c r="G6" s="28">
        <f>F6+'Profit &amp; Loss'!G21</f>
        <v>38246.80793517438</v>
      </c>
      <c r="H6" s="28">
        <f>'Profit &amp; Loss'!H21+G6</f>
        <v>51434.756297581429</v>
      </c>
      <c r="I6" s="28">
        <f>H6+'Profit &amp; Loss'!I21</f>
        <v>65334.705169845984</v>
      </c>
    </row>
    <row r="7" spans="2:13" ht="14.25" customHeight="1">
      <c r="B7" s="21" t="s">
        <v>30</v>
      </c>
      <c r="C7" s="76">
        <v>8</v>
      </c>
      <c r="D7" s="28">
        <v>99</v>
      </c>
      <c r="E7" s="28">
        <v>0</v>
      </c>
      <c r="F7" s="28">
        <v>0</v>
      </c>
      <c r="G7" s="28">
        <f>Workings!G62</f>
        <v>434.56000000000006</v>
      </c>
      <c r="H7" s="28">
        <f>Workings!H62</f>
        <v>722.81340014294642</v>
      </c>
      <c r="I7" s="28">
        <f>Workings!I62</f>
        <v>912.01615250657926</v>
      </c>
    </row>
    <row r="8" spans="2:13" ht="14.25" customHeight="1">
      <c r="B8" s="56" t="s">
        <v>31</v>
      </c>
      <c r="C8" s="56"/>
      <c r="D8" s="28"/>
      <c r="E8" s="28"/>
      <c r="F8" s="28"/>
      <c r="G8" s="28"/>
      <c r="H8" s="28"/>
      <c r="I8" s="28"/>
    </row>
    <row r="9" spans="2:13" ht="14.25" customHeight="1">
      <c r="B9" s="21" t="s">
        <v>32</v>
      </c>
      <c r="C9" s="76">
        <v>4</v>
      </c>
      <c r="D9" s="28">
        <v>7160</v>
      </c>
      <c r="E9" s="28">
        <v>7415</v>
      </c>
      <c r="F9" s="28">
        <v>8700</v>
      </c>
      <c r="G9" s="28">
        <f>Workings!G30</f>
        <v>6548.4775054484498</v>
      </c>
      <c r="H9" s="28">
        <f>Workings!H30</f>
        <v>10369.220335566431</v>
      </c>
      <c r="I9" s="28">
        <f>Workings!I30</f>
        <v>8442.9483780018418</v>
      </c>
      <c r="K9" s="73"/>
    </row>
    <row r="10" spans="2:13" ht="14.25" customHeight="1">
      <c r="B10" s="21" t="s">
        <v>33</v>
      </c>
      <c r="C10" s="21"/>
      <c r="D10" s="28">
        <v>3442</v>
      </c>
      <c r="E10" s="28">
        <v>4334</v>
      </c>
      <c r="F10" s="28">
        <v>12250</v>
      </c>
      <c r="G10" s="28">
        <f>F10-F10*15/100</f>
        <v>10412.5</v>
      </c>
      <c r="H10" s="28">
        <f>G10</f>
        <v>10412.5</v>
      </c>
      <c r="I10" s="28">
        <f>G10</f>
        <v>10412.5</v>
      </c>
    </row>
    <row r="11" spans="2:13" ht="14.25" customHeight="1">
      <c r="B11" s="60" t="s">
        <v>34</v>
      </c>
      <c r="C11" s="60"/>
      <c r="D11" s="61">
        <f t="shared" ref="D11:H11" si="0">SUM(D9:D10)</f>
        <v>10602</v>
      </c>
      <c r="E11" s="61">
        <f t="shared" si="0"/>
        <v>11749</v>
      </c>
      <c r="F11" s="61">
        <f t="shared" si="0"/>
        <v>20950</v>
      </c>
      <c r="G11" s="61">
        <f t="shared" si="0"/>
        <v>16960.977505448449</v>
      </c>
      <c r="H11" s="61">
        <f t="shared" si="0"/>
        <v>20781.720335566431</v>
      </c>
      <c r="I11" s="61">
        <f>SUM(I9:I10)</f>
        <v>18855.448378001842</v>
      </c>
    </row>
    <row r="12" spans="2:13" ht="14.25" customHeight="1">
      <c r="B12" s="56" t="s">
        <v>35</v>
      </c>
      <c r="C12" s="56"/>
      <c r="D12" s="59">
        <f t="shared" ref="D12:H12" si="1">SUM(D5:D7,D11)</f>
        <v>25831</v>
      </c>
      <c r="E12" s="59">
        <f t="shared" si="1"/>
        <v>29173</v>
      </c>
      <c r="F12" s="59">
        <f t="shared" si="1"/>
        <v>50050</v>
      </c>
      <c r="G12" s="59">
        <f t="shared" si="1"/>
        <v>55877.345440622827</v>
      </c>
      <c r="H12" s="59">
        <f t="shared" si="1"/>
        <v>73174.290033290803</v>
      </c>
      <c r="I12" s="59">
        <f>ROUND(SUM(I5:I7,I11),0)</f>
        <v>85337</v>
      </c>
    </row>
    <row r="13" spans="2:13" ht="14.25" customHeight="1">
      <c r="D13" s="28"/>
      <c r="E13" s="28"/>
      <c r="F13" s="28"/>
      <c r="G13" s="28"/>
      <c r="H13" s="28"/>
      <c r="I13" s="28"/>
    </row>
    <row r="14" spans="2:13" ht="14.25" customHeight="1">
      <c r="B14" s="21" t="s">
        <v>36</v>
      </c>
      <c r="C14" s="79">
        <v>7</v>
      </c>
      <c r="D14" s="62">
        <v>5200</v>
      </c>
      <c r="E14" s="28">
        <v>5479</v>
      </c>
      <c r="F14" s="28">
        <v>10119</v>
      </c>
      <c r="G14" s="28">
        <f>Workings!G50</f>
        <v>10008.168336906996</v>
      </c>
      <c r="H14" s="28">
        <f>Workings!H50</f>
        <v>9852.0638102820412</v>
      </c>
      <c r="I14" s="28">
        <f>Workings!I50</f>
        <v>9658.5531698717969</v>
      </c>
    </row>
    <row r="15" spans="2:13" ht="14.25" customHeight="1">
      <c r="B15" s="21" t="s">
        <v>37</v>
      </c>
      <c r="C15" s="76">
        <v>8</v>
      </c>
      <c r="D15" s="28">
        <v>450</v>
      </c>
      <c r="E15" s="28">
        <v>597</v>
      </c>
      <c r="F15" s="28">
        <v>745</v>
      </c>
      <c r="G15" s="28">
        <f t="shared" ref="G15:I15" si="2">F15+F15*10/100</f>
        <v>819.5</v>
      </c>
      <c r="H15" s="28">
        <f t="shared" si="2"/>
        <v>901.45</v>
      </c>
      <c r="I15" s="28">
        <f t="shared" si="2"/>
        <v>991.59500000000003</v>
      </c>
      <c r="K15" s="73"/>
      <c r="L15" s="73"/>
      <c r="M15" s="73"/>
    </row>
    <row r="16" spans="2:13" ht="14.25" customHeight="1">
      <c r="B16" s="21" t="s">
        <v>38</v>
      </c>
      <c r="C16" s="21"/>
      <c r="D16" s="28">
        <v>1716</v>
      </c>
      <c r="E16" s="28">
        <v>1255</v>
      </c>
      <c r="F16" s="28">
        <v>2709</v>
      </c>
      <c r="G16" s="28">
        <v>2709</v>
      </c>
      <c r="H16" s="28">
        <v>2709</v>
      </c>
      <c r="I16" s="28">
        <v>2709</v>
      </c>
    </row>
    <row r="17" spans="2:11" ht="14.25" customHeight="1">
      <c r="B17" s="56" t="s">
        <v>39</v>
      </c>
      <c r="C17" s="56"/>
      <c r="D17" s="28"/>
      <c r="E17" s="28"/>
      <c r="F17" s="28"/>
      <c r="G17" s="28"/>
      <c r="H17" s="28"/>
      <c r="I17" s="28"/>
    </row>
    <row r="18" spans="2:11" ht="14.25" customHeight="1">
      <c r="B18" s="21" t="s">
        <v>40</v>
      </c>
      <c r="C18" s="76">
        <v>2</v>
      </c>
      <c r="D18" s="28">
        <v>2574</v>
      </c>
      <c r="E18" s="28">
        <v>2767</v>
      </c>
      <c r="F18" s="28">
        <v>3579</v>
      </c>
      <c r="G18" s="28">
        <f>Workings!G13</f>
        <v>2693.90816</v>
      </c>
      <c r="H18" s="28">
        <f>Workings!H13</f>
        <v>4265.6827104588801</v>
      </c>
      <c r="I18" s="28">
        <f>Workings!I13</f>
        <v>3473.2542810193781</v>
      </c>
      <c r="K18" s="73"/>
    </row>
    <row r="19" spans="2:11" ht="14.25" customHeight="1">
      <c r="B19" s="21" t="s">
        <v>41</v>
      </c>
      <c r="C19" s="76">
        <v>3</v>
      </c>
      <c r="D19" s="28">
        <f>1816-43</f>
        <v>1773</v>
      </c>
      <c r="E19" s="28">
        <f>1149-158</f>
        <v>991</v>
      </c>
      <c r="F19" s="28">
        <f>1758-96</f>
        <v>1662</v>
      </c>
      <c r="G19" s="28">
        <f>Workings!G18</f>
        <v>925.57461599999988</v>
      </c>
      <c r="H19" s="28">
        <f>Workings!H18</f>
        <v>1945.256618064288</v>
      </c>
      <c r="I19" s="28">
        <f>Workings!I18</f>
        <v>1247.0548909204936</v>
      </c>
    </row>
    <row r="20" spans="2:11" ht="14.25" customHeight="1">
      <c r="B20" s="21" t="s">
        <v>42</v>
      </c>
      <c r="C20" s="81" t="s">
        <v>134</v>
      </c>
      <c r="D20" s="62">
        <v>9473</v>
      </c>
      <c r="E20" s="62">
        <v>14291</v>
      </c>
      <c r="F20" s="28">
        <v>27201</v>
      </c>
      <c r="G20" s="28">
        <f>'Cash Flow'!E39</f>
        <v>34686.194327715828</v>
      </c>
      <c r="H20" s="28">
        <f>'Cash Flow'!F39</f>
        <v>49465.83689448559</v>
      </c>
      <c r="I20" s="28">
        <f>'Cash Flow'!G39</f>
        <v>63222.601063142232</v>
      </c>
    </row>
    <row r="21" spans="2:11" ht="14.25" customHeight="1">
      <c r="B21" s="21" t="s">
        <v>43</v>
      </c>
      <c r="C21" s="21"/>
      <c r="D21" s="28">
        <v>1878</v>
      </c>
      <c r="E21" s="28">
        <v>2323</v>
      </c>
      <c r="F21" s="28">
        <v>1719</v>
      </c>
      <c r="G21" s="28">
        <v>1719</v>
      </c>
      <c r="H21" s="28">
        <v>1719</v>
      </c>
      <c r="I21" s="28">
        <v>1719</v>
      </c>
    </row>
    <row r="22" spans="2:11" ht="14.25" customHeight="1">
      <c r="B22" s="63" t="s">
        <v>44</v>
      </c>
      <c r="C22" s="63"/>
      <c r="D22" s="28">
        <v>2767</v>
      </c>
      <c r="E22" s="28">
        <v>1470</v>
      </c>
      <c r="F22" s="28">
        <v>2316</v>
      </c>
      <c r="G22" s="28">
        <v>2316</v>
      </c>
      <c r="H22" s="28">
        <v>2316</v>
      </c>
      <c r="I22" s="28">
        <v>2316</v>
      </c>
    </row>
    <row r="23" spans="2:11" ht="14.25" customHeight="1">
      <c r="B23" s="21" t="s">
        <v>45</v>
      </c>
      <c r="C23" s="19"/>
      <c r="D23" s="61">
        <f t="shared" ref="D23:H23" si="3">SUM(D18:D22)</f>
        <v>18465</v>
      </c>
      <c r="E23" s="61">
        <f t="shared" si="3"/>
        <v>21842</v>
      </c>
      <c r="F23" s="61">
        <f t="shared" si="3"/>
        <v>36477</v>
      </c>
      <c r="G23" s="61">
        <f t="shared" si="3"/>
        <v>42340.677103715825</v>
      </c>
      <c r="H23" s="61">
        <f t="shared" si="3"/>
        <v>59711.776223008761</v>
      </c>
      <c r="I23" s="61">
        <f>SUM(I18:I22)</f>
        <v>71977.910235082105</v>
      </c>
    </row>
    <row r="24" spans="2:11" ht="14.25" customHeight="1">
      <c r="B24" s="64" t="s">
        <v>46</v>
      </c>
      <c r="C24" s="80"/>
      <c r="D24" s="59">
        <f t="shared" ref="D24:F24" si="4">SUM(D14:D16,D23)</f>
        <v>25831</v>
      </c>
      <c r="E24" s="59">
        <f t="shared" si="4"/>
        <v>29173</v>
      </c>
      <c r="F24" s="59">
        <f t="shared" si="4"/>
        <v>50050</v>
      </c>
      <c r="G24" s="59">
        <f t="shared" ref="G24:H24" si="5">SUM(G14:G16)+G23</f>
        <v>55877.345440622819</v>
      </c>
      <c r="H24" s="59">
        <f t="shared" si="5"/>
        <v>73174.290033290803</v>
      </c>
      <c r="I24" s="59">
        <f>ROUND(SUM(I14:I16)+I23,0)</f>
        <v>85337</v>
      </c>
    </row>
    <row r="25" spans="2:11" ht="14.25" customHeight="1">
      <c r="D25" s="28"/>
      <c r="E25" s="28"/>
      <c r="F25" s="28"/>
      <c r="G25" s="28"/>
      <c r="H25" s="28"/>
      <c r="I25" s="28"/>
    </row>
    <row r="26" spans="2:11" ht="14.25" customHeight="1">
      <c r="D26" s="28">
        <f t="shared" ref="D26:H26" si="6">D12-D24</f>
        <v>0</v>
      </c>
      <c r="E26" s="28">
        <f t="shared" si="6"/>
        <v>0</v>
      </c>
      <c r="F26" s="28">
        <f t="shared" si="6"/>
        <v>0</v>
      </c>
      <c r="G26" s="28">
        <f t="shared" si="6"/>
        <v>0</v>
      </c>
      <c r="H26" s="28">
        <f t="shared" si="6"/>
        <v>0</v>
      </c>
      <c r="I26" s="28">
        <f>I12-I24</f>
        <v>0</v>
      </c>
    </row>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
    <mergeCell ref="B1:D1"/>
  </mergeCells>
  <printOptions gridLines="1"/>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6"/>
  <sheetViews>
    <sheetView workbookViewId="0">
      <selection activeCell="I32" sqref="I32"/>
    </sheetView>
  </sheetViews>
  <sheetFormatPr defaultColWidth="12.59765625" defaultRowHeight="15" customHeight="1"/>
  <cols>
    <col min="1" max="1" width="7.59765625" customWidth="1"/>
    <col min="2" max="2" width="37.59765625" customWidth="1"/>
    <col min="3" max="10" width="11.69921875" customWidth="1"/>
    <col min="11" max="25" width="7.59765625" customWidth="1"/>
  </cols>
  <sheetData>
    <row r="1" spans="1:26" ht="14.25" customHeight="1">
      <c r="B1" s="52" t="str">
        <f>'Profit &amp; Loss'!B1</f>
        <v>GRIVA PRIVATE LTD.</v>
      </c>
      <c r="E1" s="53"/>
    </row>
    <row r="2" spans="1:26" ht="14.25" customHeight="1">
      <c r="D2" s="54" t="s">
        <v>1</v>
      </c>
    </row>
    <row r="3" spans="1:26" ht="14.25" customHeight="1">
      <c r="B3" s="2" t="s">
        <v>2</v>
      </c>
      <c r="C3" s="2" t="s">
        <v>4</v>
      </c>
      <c r="D3" s="2" t="s">
        <v>5</v>
      </c>
      <c r="E3" s="3" t="s">
        <v>6</v>
      </c>
      <c r="F3" s="3" t="s">
        <v>7</v>
      </c>
      <c r="G3" s="3" t="s">
        <v>8</v>
      </c>
    </row>
    <row r="4" spans="1:26" ht="14.25" customHeight="1">
      <c r="B4" s="55"/>
      <c r="C4" s="55"/>
      <c r="D4" s="55"/>
    </row>
    <row r="5" spans="1:26" ht="14.25" customHeight="1">
      <c r="B5" s="56" t="s">
        <v>47</v>
      </c>
    </row>
    <row r="6" spans="1:26" ht="14.25" customHeight="1">
      <c r="B6" s="21" t="s">
        <v>26</v>
      </c>
      <c r="C6" s="28">
        <f>'Profit &amp; Loss'!E21</f>
        <v>6820</v>
      </c>
      <c r="D6" s="28">
        <f>'Profit &amp; Loss'!F21</f>
        <v>8385</v>
      </c>
      <c r="E6" s="28">
        <f>'Profit &amp; Loss'!G21</f>
        <v>9381.8079351743763</v>
      </c>
      <c r="F6" s="28">
        <f>'Profit &amp; Loss'!H21</f>
        <v>13187.948362407047</v>
      </c>
      <c r="G6" s="28">
        <f>'Profit &amp; Loss'!I21</f>
        <v>13899.948872264558</v>
      </c>
    </row>
    <row r="7" spans="1:26" ht="14.25" customHeight="1">
      <c r="B7" s="21" t="s">
        <v>48</v>
      </c>
      <c r="C7" s="28">
        <f>'Profit &amp; Loss'!E20</f>
        <v>2409</v>
      </c>
      <c r="D7" s="28">
        <f>'Profit &amp; Loss'!F20</f>
        <v>2606</v>
      </c>
      <c r="E7" s="28">
        <f>'Profit &amp; Loss'!G20</f>
        <v>4020.7748293604463</v>
      </c>
      <c r="F7" s="28">
        <f>'Profit &amp; Loss'!H20</f>
        <v>5651.9778696030207</v>
      </c>
      <c r="G7" s="28">
        <f>'Profit &amp; Loss'!I20</f>
        <v>5957.1209452562398</v>
      </c>
    </row>
    <row r="8" spans="1:26" ht="14.25" customHeight="1">
      <c r="B8" s="21" t="s">
        <v>24</v>
      </c>
      <c r="C8" s="28">
        <f t="shared" ref="C8:G8" si="0">C6+C7</f>
        <v>9229</v>
      </c>
      <c r="D8" s="28">
        <f t="shared" si="0"/>
        <v>10991</v>
      </c>
      <c r="E8" s="28">
        <f t="shared" si="0"/>
        <v>13402.582764534822</v>
      </c>
      <c r="F8" s="28">
        <f t="shared" si="0"/>
        <v>18839.926232010068</v>
      </c>
      <c r="G8" s="28">
        <f t="shared" si="0"/>
        <v>19857.069817520798</v>
      </c>
    </row>
    <row r="9" spans="1:26" ht="14.25" customHeight="1">
      <c r="A9" s="57"/>
      <c r="B9" s="21" t="s">
        <v>49</v>
      </c>
      <c r="C9" s="28">
        <f>'Profit &amp; Loss'!E16</f>
        <v>432</v>
      </c>
      <c r="D9" s="28">
        <f>'Profit &amp; Loss'!F16</f>
        <v>171</v>
      </c>
      <c r="E9" s="28">
        <f>'Profit &amp; Loss'!G16</f>
        <v>171</v>
      </c>
      <c r="F9" s="28">
        <f>'Profit &amp; Loss'!H16</f>
        <v>171</v>
      </c>
      <c r="G9" s="28">
        <f>'Profit &amp; Loss'!I16</f>
        <v>171</v>
      </c>
      <c r="H9" s="57"/>
      <c r="I9" s="57"/>
      <c r="J9" s="57"/>
      <c r="K9" s="57"/>
      <c r="L9" s="57"/>
      <c r="M9" s="57"/>
      <c r="N9" s="57"/>
      <c r="O9" s="57"/>
      <c r="P9" s="57"/>
      <c r="Q9" s="57"/>
      <c r="R9" s="57"/>
      <c r="S9" s="57"/>
      <c r="T9" s="57"/>
      <c r="U9" s="57"/>
      <c r="V9" s="57"/>
      <c r="W9" s="57"/>
      <c r="X9" s="57"/>
      <c r="Y9" s="57"/>
      <c r="Z9" s="57"/>
    </row>
    <row r="10" spans="1:26" ht="14.25" customHeight="1">
      <c r="B10" s="21" t="s">
        <v>50</v>
      </c>
      <c r="C10" s="28">
        <f>'Profit &amp; Loss'!E17</f>
        <v>1002</v>
      </c>
      <c r="D10" s="28">
        <f>'Profit &amp; Loss'!F17</f>
        <v>1074</v>
      </c>
      <c r="E10" s="28">
        <f>'Profit &amp; Loss'!G17</f>
        <v>1122.7316630930045</v>
      </c>
      <c r="F10" s="28">
        <f>'Profit &amp; Loss'!H17</f>
        <v>1156.9213603156541</v>
      </c>
      <c r="G10" s="28">
        <f>'Profit &amp; Loss'!I17</f>
        <v>1178.6057260379457</v>
      </c>
      <c r="H10" s="57"/>
    </row>
    <row r="11" spans="1:26" ht="14.25" customHeight="1">
      <c r="B11" s="21" t="s">
        <v>51</v>
      </c>
      <c r="C11" s="28">
        <f>'Profit &amp; Loss'!E18</f>
        <v>139</v>
      </c>
      <c r="D11" s="28">
        <f>'Profit &amp; Loss'!F18</f>
        <v>138</v>
      </c>
      <c r="E11" s="28">
        <f>'Profit &amp; Loss'!G18</f>
        <v>156.41039999999998</v>
      </c>
      <c r="F11" s="28">
        <f>'Profit &amp; Loss'!H18</f>
        <v>182.3532060128652</v>
      </c>
      <c r="G11" s="28">
        <f>'Profit &amp; Loss'!I18</f>
        <v>199.38145372559214</v>
      </c>
      <c r="H11" s="57"/>
    </row>
    <row r="12" spans="1:26" ht="14.4">
      <c r="B12" s="58" t="s">
        <v>52</v>
      </c>
      <c r="C12" s="59">
        <f t="shared" ref="C12:G12" si="1">C8-C9+SUM(C10:C11)</f>
        <v>9938</v>
      </c>
      <c r="D12" s="59">
        <f t="shared" si="1"/>
        <v>12032</v>
      </c>
      <c r="E12" s="59">
        <f t="shared" si="1"/>
        <v>14510.724827627826</v>
      </c>
      <c r="F12" s="59">
        <f t="shared" si="1"/>
        <v>20008.200798338588</v>
      </c>
      <c r="G12" s="59">
        <f t="shared" si="1"/>
        <v>21064.056997284337</v>
      </c>
    </row>
    <row r="13" spans="1:26" ht="14.25" customHeight="1">
      <c r="B13" s="21" t="s">
        <v>53</v>
      </c>
      <c r="C13" s="28">
        <f>'Balance Sheet'!D18-'Balance Sheet'!E18</f>
        <v>-193</v>
      </c>
      <c r="D13" s="28">
        <f>'Balance Sheet'!E18-'Balance Sheet'!F18</f>
        <v>-812</v>
      </c>
      <c r="E13" s="28">
        <f>'Balance Sheet'!F18-'Balance Sheet'!G18</f>
        <v>885.09184000000005</v>
      </c>
      <c r="F13" s="28">
        <f>'Balance Sheet'!G18-'Balance Sheet'!H18</f>
        <v>-1571.7745504588802</v>
      </c>
      <c r="G13" s="28">
        <f>'Balance Sheet'!H18-'Balance Sheet'!I18</f>
        <v>792.428429439502</v>
      </c>
      <c r="H13" s="28" t="s">
        <v>54</v>
      </c>
    </row>
    <row r="14" spans="1:26" ht="14.25" customHeight="1">
      <c r="B14" s="21" t="s">
        <v>55</v>
      </c>
      <c r="C14" s="28">
        <f>'Balance Sheet'!D19-'Balance Sheet'!E19</f>
        <v>782</v>
      </c>
      <c r="D14" s="28">
        <f>'Balance Sheet'!E19-'Balance Sheet'!F19</f>
        <v>-671</v>
      </c>
      <c r="E14" s="28">
        <f>'Balance Sheet'!F19-'Balance Sheet'!G19</f>
        <v>736.42538400000012</v>
      </c>
      <c r="F14" s="28">
        <f>'Balance Sheet'!G19-'Balance Sheet'!H19</f>
        <v>-1019.6820020642881</v>
      </c>
      <c r="G14" s="28">
        <f>'Balance Sheet'!H19-'Balance Sheet'!I19</f>
        <v>698.20172714379441</v>
      </c>
      <c r="H14" s="28" t="s">
        <v>54</v>
      </c>
    </row>
    <row r="15" spans="1:26" ht="14.25" customHeight="1">
      <c r="B15" s="21" t="s">
        <v>56</v>
      </c>
      <c r="C15" s="28">
        <f>'Balance Sheet'!D21-'Balance Sheet'!E21</f>
        <v>-445</v>
      </c>
      <c r="D15" s="28">
        <f>'Balance Sheet'!E21-'Balance Sheet'!F21</f>
        <v>604</v>
      </c>
      <c r="E15" s="28">
        <f>'Balance Sheet'!F21-'Balance Sheet'!G21</f>
        <v>0</v>
      </c>
      <c r="F15" s="28">
        <f>'Balance Sheet'!G21-'Balance Sheet'!H21</f>
        <v>0</v>
      </c>
      <c r="G15" s="28">
        <f>'Balance Sheet'!H21-'Balance Sheet'!I21</f>
        <v>0</v>
      </c>
      <c r="H15" s="28" t="s">
        <v>54</v>
      </c>
    </row>
    <row r="16" spans="1:26" ht="14.25" customHeight="1">
      <c r="B16" s="21" t="s">
        <v>44</v>
      </c>
      <c r="C16" s="28">
        <f>'Balance Sheet'!D22-'Balance Sheet'!E22</f>
        <v>1297</v>
      </c>
      <c r="D16" s="28">
        <f>'Balance Sheet'!E22-'Balance Sheet'!F22</f>
        <v>-846</v>
      </c>
      <c r="E16" s="28">
        <f>'Balance Sheet'!F22-'Balance Sheet'!G22</f>
        <v>0</v>
      </c>
      <c r="F16" s="28">
        <f>'Balance Sheet'!G22-'Balance Sheet'!H22</f>
        <v>0</v>
      </c>
      <c r="G16" s="28">
        <f>'Balance Sheet'!H22-'Balance Sheet'!I22</f>
        <v>0</v>
      </c>
      <c r="H16" s="28" t="s">
        <v>54</v>
      </c>
    </row>
    <row r="17" spans="1:26" ht="14.25" customHeight="1">
      <c r="B17" s="21" t="s">
        <v>57</v>
      </c>
      <c r="C17" s="28">
        <f>'Balance Sheet'!E9-'Balance Sheet'!D9</f>
        <v>255</v>
      </c>
      <c r="D17" s="28">
        <f>'Balance Sheet'!F9-'Balance Sheet'!E9</f>
        <v>1285</v>
      </c>
      <c r="E17" s="28">
        <f>'Balance Sheet'!G9-'Balance Sheet'!F9</f>
        <v>-2151.5224945515502</v>
      </c>
      <c r="F17" s="28">
        <f>'Balance Sheet'!H9-'Balance Sheet'!G9</f>
        <v>3820.7428301179816</v>
      </c>
      <c r="G17" s="28">
        <f>'Balance Sheet'!I9-'Balance Sheet'!H9</f>
        <v>-1926.2719575645897</v>
      </c>
      <c r="H17" s="28" t="s">
        <v>17</v>
      </c>
    </row>
    <row r="18" spans="1:26" ht="14.25" customHeight="1">
      <c r="B18" s="21" t="s">
        <v>33</v>
      </c>
      <c r="C18" s="28">
        <f>'Balance Sheet'!E10-'Balance Sheet'!D10</f>
        <v>892</v>
      </c>
      <c r="D18" s="28">
        <f>'Balance Sheet'!F10-'Balance Sheet'!E10</f>
        <v>7916</v>
      </c>
      <c r="E18" s="28">
        <f>'Balance Sheet'!G10-'Balance Sheet'!F10</f>
        <v>-1837.5</v>
      </c>
      <c r="F18" s="28">
        <f>'Balance Sheet'!H10-'Balance Sheet'!G10</f>
        <v>0</v>
      </c>
      <c r="G18" s="28">
        <f>'Balance Sheet'!I10-'Balance Sheet'!H10</f>
        <v>0</v>
      </c>
      <c r="H18" s="28" t="s">
        <v>17</v>
      </c>
    </row>
    <row r="19" spans="1:26" ht="14.25" customHeight="1">
      <c r="B19" s="56" t="s">
        <v>58</v>
      </c>
      <c r="C19" s="59">
        <f t="shared" ref="C19:G19" si="2">C12+SUM(C13:C18)</f>
        <v>12526</v>
      </c>
      <c r="D19" s="59">
        <f t="shared" si="2"/>
        <v>19508</v>
      </c>
      <c r="E19" s="59">
        <f t="shared" si="2"/>
        <v>12143.219557076276</v>
      </c>
      <c r="F19" s="59">
        <f t="shared" si="2"/>
        <v>21237.487075933401</v>
      </c>
      <c r="G19" s="59">
        <f t="shared" si="2"/>
        <v>20628.415196303045</v>
      </c>
    </row>
    <row r="20" spans="1:26" ht="14.25" customHeight="1">
      <c r="B20" s="21" t="s">
        <v>59</v>
      </c>
      <c r="C20" s="28">
        <f t="shared" ref="C20:G20" si="3">C7</f>
        <v>2409</v>
      </c>
      <c r="D20" s="28">
        <f t="shared" si="3"/>
        <v>2606</v>
      </c>
      <c r="E20" s="28">
        <f t="shared" si="3"/>
        <v>4020.7748293604463</v>
      </c>
      <c r="F20" s="28">
        <f t="shared" si="3"/>
        <v>5651.9778696030207</v>
      </c>
      <c r="G20" s="28">
        <f t="shared" si="3"/>
        <v>5957.1209452562398</v>
      </c>
    </row>
    <row r="21" spans="1:26" ht="14.25" customHeight="1">
      <c r="C21" s="59">
        <f t="shared" ref="C21:G21" si="4">C19-C20</f>
        <v>10117</v>
      </c>
      <c r="D21" s="59">
        <f t="shared" si="4"/>
        <v>16902</v>
      </c>
      <c r="E21" s="59">
        <f t="shared" si="4"/>
        <v>8122.4447277158297</v>
      </c>
      <c r="F21" s="59">
        <f t="shared" si="4"/>
        <v>15585.50920633038</v>
      </c>
      <c r="G21" s="59">
        <f t="shared" si="4"/>
        <v>14671.294251046806</v>
      </c>
    </row>
    <row r="22" spans="1:26" ht="14.25" customHeight="1">
      <c r="C22" s="28"/>
      <c r="D22" s="28"/>
      <c r="E22" s="28"/>
      <c r="F22" s="28"/>
      <c r="G22" s="28"/>
    </row>
    <row r="23" spans="1:26" ht="14.25" customHeight="1">
      <c r="B23" s="56" t="s">
        <v>60</v>
      </c>
      <c r="C23" s="28"/>
      <c r="D23" s="28"/>
      <c r="E23" s="28"/>
      <c r="F23" s="28"/>
      <c r="G23" s="28"/>
    </row>
    <row r="24" spans="1:26" ht="14.25" customHeight="1">
      <c r="B24" s="21" t="s">
        <v>61</v>
      </c>
      <c r="C24" s="28">
        <f>'Balance Sheet'!D14-'Balance Sheet'!E14</f>
        <v>-279</v>
      </c>
      <c r="D24" s="28">
        <f>'Balance Sheet'!E14-'Balance Sheet'!F14</f>
        <v>-4640</v>
      </c>
      <c r="E24" s="28">
        <f>-(Workings!G45)</f>
        <v>-1011.9</v>
      </c>
      <c r="F24" s="28">
        <f>-(Workings!H45)</f>
        <v>-1000.8168336906996</v>
      </c>
      <c r="G24" s="28">
        <f>-(Workings!I45)</f>
        <v>-985.20638102820408</v>
      </c>
    </row>
    <row r="25" spans="1:26" ht="14.25" customHeight="1">
      <c r="A25" s="57"/>
      <c r="B25" s="21" t="s">
        <v>37</v>
      </c>
      <c r="C25" s="28">
        <f>'Balance Sheet'!D15-'Balance Sheet'!E15</f>
        <v>-147</v>
      </c>
      <c r="D25" s="28">
        <f>'Balance Sheet'!E15-'Balance Sheet'!F15</f>
        <v>-148</v>
      </c>
      <c r="E25" s="28">
        <f>-(Workings!G53)</f>
        <v>-74.5</v>
      </c>
      <c r="F25" s="28">
        <f>-(Workings!H53)</f>
        <v>-81.950000000000045</v>
      </c>
      <c r="G25" s="28">
        <f>-(Workings!I53)</f>
        <v>-90.144999999999982</v>
      </c>
      <c r="H25" s="57"/>
      <c r="I25" s="57"/>
      <c r="J25" s="57"/>
      <c r="K25" s="57"/>
      <c r="L25" s="57"/>
      <c r="M25" s="57"/>
      <c r="N25" s="57"/>
      <c r="O25" s="57"/>
      <c r="P25" s="57"/>
      <c r="Q25" s="57"/>
      <c r="R25" s="57"/>
      <c r="S25" s="57"/>
      <c r="T25" s="57"/>
      <c r="U25" s="57"/>
      <c r="V25" s="57"/>
      <c r="W25" s="57"/>
      <c r="X25" s="57"/>
      <c r="Y25" s="57"/>
      <c r="Z25" s="57"/>
    </row>
    <row r="26" spans="1:26" ht="14.25" customHeight="1">
      <c r="B26" s="21" t="s">
        <v>62</v>
      </c>
      <c r="C26" s="28">
        <v>0</v>
      </c>
      <c r="D26" s="28">
        <f>'Balance Sheet'!E16-'Balance Sheet'!F16</f>
        <v>-1454</v>
      </c>
      <c r="E26" s="28">
        <f>'Balance Sheet'!F16-'Balance Sheet'!G16</f>
        <v>0</v>
      </c>
      <c r="F26" s="28">
        <f>'Balance Sheet'!G16-'Balance Sheet'!H16</f>
        <v>0</v>
      </c>
      <c r="G26" s="28">
        <f>'Balance Sheet'!H16-'Balance Sheet'!I16</f>
        <v>0</v>
      </c>
    </row>
    <row r="27" spans="1:26" ht="14.25" customHeight="1">
      <c r="B27" s="21" t="s">
        <v>63</v>
      </c>
      <c r="C27" s="28">
        <f>'Balance Sheet'!D16-'Balance Sheet'!E16</f>
        <v>461</v>
      </c>
      <c r="D27" s="28">
        <v>0</v>
      </c>
      <c r="E27" s="28">
        <v>0</v>
      </c>
      <c r="F27" s="28">
        <v>0</v>
      </c>
      <c r="G27" s="28">
        <v>0</v>
      </c>
    </row>
    <row r="28" spans="1:26" ht="14.25" customHeight="1">
      <c r="B28" s="21" t="s">
        <v>64</v>
      </c>
      <c r="C28" s="28">
        <f>'Profit &amp; Loss'!E16</f>
        <v>432</v>
      </c>
      <c r="D28" s="28">
        <f>'Profit &amp; Loss'!F16</f>
        <v>171</v>
      </c>
      <c r="E28" s="28">
        <f>'Profit &amp; Loss'!G16</f>
        <v>171</v>
      </c>
      <c r="F28" s="28">
        <f>'Profit &amp; Loss'!H16</f>
        <v>171</v>
      </c>
      <c r="G28" s="28">
        <f>'Profit &amp; Loss'!I16</f>
        <v>171</v>
      </c>
    </row>
    <row r="29" spans="1:26" ht="14.25" customHeight="1">
      <c r="C29" s="59">
        <f t="shared" ref="C29:G29" si="5">SUM(C24:C28)</f>
        <v>467</v>
      </c>
      <c r="D29" s="59">
        <f t="shared" si="5"/>
        <v>-6071</v>
      </c>
      <c r="E29" s="59">
        <f t="shared" si="5"/>
        <v>-915.40000000000009</v>
      </c>
      <c r="F29" s="59">
        <f t="shared" si="5"/>
        <v>-911.76683369069951</v>
      </c>
      <c r="G29" s="59">
        <f t="shared" si="5"/>
        <v>-904.35138102820406</v>
      </c>
    </row>
    <row r="30" spans="1:26" ht="14.25" customHeight="1">
      <c r="C30" s="28"/>
      <c r="D30" s="28"/>
      <c r="E30" s="28"/>
      <c r="F30" s="28"/>
      <c r="G30" s="28"/>
    </row>
    <row r="31" spans="1:26" ht="14.25" customHeight="1">
      <c r="B31" s="56" t="s">
        <v>65</v>
      </c>
      <c r="C31" s="28"/>
      <c r="D31" s="28"/>
      <c r="E31" s="28"/>
      <c r="F31" s="28"/>
      <c r="G31" s="28"/>
    </row>
    <row r="32" spans="1:26" ht="14.25" customHeight="1">
      <c r="B32" s="21" t="s">
        <v>66</v>
      </c>
      <c r="C32" s="28"/>
      <c r="D32" s="28"/>
      <c r="E32" s="28">
        <f>Workings!G56</f>
        <v>651.84</v>
      </c>
      <c r="F32" s="28">
        <f>Workings!H56</f>
        <v>649.66010021441969</v>
      </c>
      <c r="G32" s="28">
        <f>Workings!I56</f>
        <v>645.21082861692241</v>
      </c>
    </row>
    <row r="33" spans="2:7" ht="14.25" customHeight="1">
      <c r="B33" s="21" t="s">
        <v>67</v>
      </c>
      <c r="C33" s="28">
        <f>'Balance Sheet'!E7-'Balance Sheet'!D7</f>
        <v>-99</v>
      </c>
      <c r="D33" s="28"/>
      <c r="E33" s="28">
        <f>-(Workings!G60)</f>
        <v>-217.28</v>
      </c>
      <c r="F33" s="28">
        <f>-(Workings!H60)</f>
        <v>-361.40670007147327</v>
      </c>
      <c r="G33" s="28">
        <f>-(Workings!I60)</f>
        <v>-456.00807625328969</v>
      </c>
    </row>
    <row r="34" spans="2:7" ht="14.25" customHeight="1">
      <c r="B34" s="21" t="s">
        <v>68</v>
      </c>
      <c r="C34" s="28">
        <f>-('Profit &amp; Loss'!E18)</f>
        <v>-139</v>
      </c>
      <c r="D34" s="28">
        <f>-('Profit &amp; Loss'!F18)</f>
        <v>-138</v>
      </c>
      <c r="E34" s="28">
        <f>-('Profit &amp; Loss'!G18)</f>
        <v>-156.41039999999998</v>
      </c>
      <c r="F34" s="28">
        <f>-('Profit &amp; Loss'!H18)</f>
        <v>-182.3532060128652</v>
      </c>
      <c r="G34" s="28">
        <f>-('Profit &amp; Loss'!I18)</f>
        <v>-199.38145372559214</v>
      </c>
    </row>
    <row r="35" spans="2:7" ht="14.25" customHeight="1">
      <c r="C35" s="59">
        <f t="shared" ref="C35:G35" si="6">SUM(C32:C34)</f>
        <v>-238</v>
      </c>
      <c r="D35" s="59">
        <f t="shared" si="6"/>
        <v>-138</v>
      </c>
      <c r="E35" s="59">
        <f t="shared" si="6"/>
        <v>278.14960000000008</v>
      </c>
      <c r="F35" s="59">
        <f t="shared" si="6"/>
        <v>105.90019413008122</v>
      </c>
      <c r="G35" s="59">
        <f t="shared" si="6"/>
        <v>-10.178701361959412</v>
      </c>
    </row>
    <row r="36" spans="2:7" ht="14.25" customHeight="1">
      <c r="C36" s="28"/>
      <c r="D36" s="28"/>
      <c r="E36" s="28"/>
      <c r="F36" s="28"/>
      <c r="G36" s="28"/>
    </row>
    <row r="37" spans="2:7" ht="14.25" customHeight="1">
      <c r="B37" s="56" t="s">
        <v>69</v>
      </c>
      <c r="C37" s="28">
        <f t="shared" ref="C37:D37" si="7">C35+C29+C21</f>
        <v>10346</v>
      </c>
      <c r="D37" s="28">
        <f t="shared" si="7"/>
        <v>10693</v>
      </c>
      <c r="E37" s="28">
        <f t="shared" ref="E37:F37" si="8">E21+E29+E35</f>
        <v>7485.1943277158289</v>
      </c>
      <c r="F37" s="28">
        <f t="shared" si="8"/>
        <v>14779.642566769762</v>
      </c>
      <c r="G37" s="28">
        <f>G21+G29+G35</f>
        <v>13756.764168656642</v>
      </c>
    </row>
    <row r="38" spans="2:7" ht="14.25" customHeight="1">
      <c r="B38" s="21" t="s">
        <v>70</v>
      </c>
      <c r="C38" s="28">
        <f>'Balance Sheet'!D20</f>
        <v>9473</v>
      </c>
      <c r="D38" s="28">
        <f>'Balance Sheet'!E20</f>
        <v>14291</v>
      </c>
      <c r="E38" s="28">
        <f>'Balance Sheet'!F20</f>
        <v>27201</v>
      </c>
      <c r="F38" s="28">
        <f t="shared" ref="F38:G38" si="9">E39</f>
        <v>34686.194327715828</v>
      </c>
      <c r="G38" s="28">
        <f t="shared" si="9"/>
        <v>49465.83689448559</v>
      </c>
    </row>
    <row r="39" spans="2:7" ht="14.25" customHeight="1">
      <c r="B39" s="21" t="s">
        <v>71</v>
      </c>
      <c r="C39" s="59">
        <f t="shared" ref="C39:G39" si="10">C37+C38</f>
        <v>19819</v>
      </c>
      <c r="D39" s="59">
        <f t="shared" si="10"/>
        <v>24984</v>
      </c>
      <c r="E39" s="59">
        <f t="shared" si="10"/>
        <v>34686.194327715828</v>
      </c>
      <c r="F39" s="59">
        <f t="shared" si="10"/>
        <v>49465.83689448559</v>
      </c>
      <c r="G39" s="59">
        <f t="shared" si="10"/>
        <v>63222.601063142232</v>
      </c>
    </row>
    <row r="40" spans="2:7" ht="14.25" customHeight="1">
      <c r="B40" s="57"/>
      <c r="C40" s="28"/>
      <c r="D40" s="28"/>
      <c r="E40" s="28"/>
      <c r="F40" s="28"/>
      <c r="G40" s="28"/>
    </row>
    <row r="41" spans="2:7" ht="14.25" customHeight="1">
      <c r="B41" s="57"/>
      <c r="C41" s="28"/>
      <c r="D41" s="28"/>
      <c r="E41" s="28"/>
      <c r="F41" s="28"/>
      <c r="G41" s="28"/>
    </row>
    <row r="42" spans="2:7" ht="14.25" customHeight="1">
      <c r="C42" s="28"/>
      <c r="D42" s="28"/>
      <c r="E42" s="28"/>
      <c r="F42" s="28"/>
      <c r="G42" s="28"/>
    </row>
    <row r="43" spans="2:7" ht="14.25" customHeight="1">
      <c r="C43" s="28"/>
      <c r="D43" s="28"/>
      <c r="E43" s="28"/>
      <c r="F43" s="28"/>
      <c r="G43" s="28"/>
    </row>
    <row r="44" spans="2:7" ht="14.25" customHeight="1"/>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gridLines="1"/>
  <pageMargins left="0.7" right="0.7" top="0.75" bottom="0.7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J62"/>
  <sheetViews>
    <sheetView topLeftCell="A42" workbookViewId="0">
      <selection activeCell="J9" sqref="J9"/>
    </sheetView>
  </sheetViews>
  <sheetFormatPr defaultColWidth="12.59765625" defaultRowHeight="15" customHeight="1"/>
  <cols>
    <col min="2" max="2" width="22" customWidth="1"/>
    <col min="3" max="3" width="25.8984375" customWidth="1"/>
  </cols>
  <sheetData>
    <row r="2" spans="2:9" ht="15" customHeight="1">
      <c r="B2" s="9" t="s">
        <v>72</v>
      </c>
      <c r="C2" s="9" t="s">
        <v>73</v>
      </c>
      <c r="D2" s="9" t="s">
        <v>3</v>
      </c>
      <c r="E2" s="9" t="s">
        <v>4</v>
      </c>
      <c r="F2" s="9" t="s">
        <v>5</v>
      </c>
      <c r="G2" s="9" t="s">
        <v>6</v>
      </c>
      <c r="H2" s="9" t="s">
        <v>7</v>
      </c>
      <c r="I2" s="9" t="s">
        <v>8</v>
      </c>
    </row>
    <row r="3" spans="2:9" ht="15" customHeight="1">
      <c r="B3" s="69" t="s">
        <v>125</v>
      </c>
    </row>
    <row r="4" spans="2:9" ht="15" customHeight="1">
      <c r="B4" s="10" t="s">
        <v>74</v>
      </c>
      <c r="C4" s="11"/>
      <c r="D4" s="12"/>
      <c r="E4" s="13"/>
      <c r="F4" s="13"/>
      <c r="G4" s="13">
        <f>F6+E6+D6+7.19+3.03</f>
        <v>40.22</v>
      </c>
      <c r="H4" s="13">
        <f>G6+F6+E6+D6+7.19</f>
        <v>47.233999999999995</v>
      </c>
      <c r="I4" s="39">
        <f>H6+G6+F6+E6+D6</f>
        <v>50.990800000000007</v>
      </c>
    </row>
    <row r="5" spans="2:9" ht="15" customHeight="1">
      <c r="B5" s="14"/>
      <c r="C5" s="15"/>
      <c r="D5" s="16"/>
      <c r="E5" s="17"/>
      <c r="F5" s="17"/>
      <c r="G5" s="15"/>
      <c r="H5" s="15"/>
      <c r="I5" s="40"/>
    </row>
    <row r="6" spans="2:9" ht="15" customHeight="1">
      <c r="B6" s="14" t="s">
        <v>75</v>
      </c>
      <c r="C6" s="15"/>
      <c r="D6" s="15">
        <v>10.59</v>
      </c>
      <c r="E6" s="17">
        <v>1.2</v>
      </c>
      <c r="F6" s="17">
        <v>18.21</v>
      </c>
      <c r="G6" s="17">
        <f>G4/5+6-4</f>
        <v>10.044</v>
      </c>
      <c r="H6" s="17">
        <f>H4/5+6-4.5</f>
        <v>10.9468</v>
      </c>
      <c r="I6" s="41">
        <f>I4/5+6-5</f>
        <v>11.198160000000001</v>
      </c>
    </row>
    <row r="7" spans="2:9" ht="15" customHeight="1">
      <c r="B7" s="14"/>
      <c r="C7" s="15"/>
      <c r="D7" s="16"/>
      <c r="E7" s="17"/>
      <c r="F7" s="17"/>
      <c r="G7" s="15"/>
      <c r="H7" s="15"/>
      <c r="I7" s="40"/>
    </row>
    <row r="8" spans="2:9" ht="15" customHeight="1">
      <c r="B8" s="18" t="s">
        <v>9</v>
      </c>
      <c r="C8" s="19"/>
      <c r="D8" s="20">
        <f>'Profit &amp; Loss'!D5</f>
        <v>39310</v>
      </c>
      <c r="E8" s="20">
        <f>'Profit &amp; Loss'!E5</f>
        <v>39783</v>
      </c>
      <c r="F8" s="20">
        <f>'Profit &amp; Loss'!F5</f>
        <v>47028</v>
      </c>
      <c r="G8" s="20">
        <f t="shared" ref="G8:I8" si="0">F8+F8*G6/100</f>
        <v>51751.492319999998</v>
      </c>
      <c r="H8" s="20">
        <f t="shared" si="0"/>
        <v>57416.624681285757</v>
      </c>
      <c r="I8" s="42">
        <f t="shared" si="0"/>
        <v>63846.230179695631</v>
      </c>
    </row>
    <row r="9" spans="2:9" ht="15" customHeight="1">
      <c r="B9" s="21"/>
      <c r="C9" s="21"/>
      <c r="E9" s="22"/>
      <c r="F9" s="22"/>
      <c r="G9" s="21"/>
      <c r="H9" s="21"/>
      <c r="I9" s="21"/>
    </row>
    <row r="10" spans="2:9" ht="15" customHeight="1">
      <c r="B10" s="69" t="s">
        <v>127</v>
      </c>
      <c r="C10" s="21"/>
      <c r="E10" s="22"/>
      <c r="F10" s="22"/>
      <c r="G10" s="21"/>
      <c r="H10" s="21"/>
      <c r="I10" s="21"/>
    </row>
    <row r="11" spans="2:9" ht="15" customHeight="1">
      <c r="B11" s="23" t="s">
        <v>76</v>
      </c>
      <c r="C11" s="11" t="s">
        <v>77</v>
      </c>
      <c r="D11" s="12"/>
      <c r="E11" s="13">
        <f>'Profit &amp; Loss'!E5/E12</f>
        <v>14.897210260250889</v>
      </c>
      <c r="F11" s="13">
        <f>'Profit &amp; Loss'!F5/F12</f>
        <v>14.821304758903246</v>
      </c>
      <c r="G11" s="13">
        <v>16.5</v>
      </c>
      <c r="H11" s="13">
        <v>16.5</v>
      </c>
      <c r="I11" s="39">
        <v>16.5</v>
      </c>
    </row>
    <row r="12" spans="2:9" ht="15" customHeight="1">
      <c r="B12" s="24"/>
      <c r="C12" s="15" t="s">
        <v>78</v>
      </c>
      <c r="D12" s="16"/>
      <c r="E12" s="25">
        <f>('Balance Sheet'!D18+'Balance Sheet'!E18)/2</f>
        <v>2670.5</v>
      </c>
      <c r="F12" s="25">
        <f>(E13+F13)/2</f>
        <v>3173</v>
      </c>
      <c r="G12" s="25">
        <f t="shared" ref="G12:I12" si="1">G8/G11</f>
        <v>3136.45408</v>
      </c>
      <c r="H12" s="25">
        <f t="shared" si="1"/>
        <v>3479.79543522944</v>
      </c>
      <c r="I12" s="43">
        <f t="shared" si="1"/>
        <v>3869.4684957391291</v>
      </c>
    </row>
    <row r="13" spans="2:9" ht="15" customHeight="1">
      <c r="B13" s="26"/>
      <c r="C13" s="19" t="s">
        <v>79</v>
      </c>
      <c r="D13" s="27"/>
      <c r="E13" s="20">
        <f>'Balance Sheet'!E18</f>
        <v>2767</v>
      </c>
      <c r="F13" s="20">
        <f>'Balance Sheet'!F18</f>
        <v>3579</v>
      </c>
      <c r="G13" s="74">
        <f t="shared" ref="G13:I13" si="2">G12*2-F13</f>
        <v>2693.90816</v>
      </c>
      <c r="H13" s="74">
        <f t="shared" si="2"/>
        <v>4265.6827104588801</v>
      </c>
      <c r="I13" s="75">
        <f t="shared" si="2"/>
        <v>3473.2542810193781</v>
      </c>
    </row>
    <row r="14" spans="2:9" s="68" customFormat="1" ht="15" customHeight="1">
      <c r="B14" s="16"/>
      <c r="C14" s="15"/>
      <c r="D14" s="16"/>
      <c r="E14" s="25"/>
      <c r="F14" s="25"/>
      <c r="G14" s="25"/>
      <c r="H14" s="25"/>
      <c r="I14" s="25"/>
    </row>
    <row r="15" spans="2:9" ht="15" customHeight="1">
      <c r="B15" s="69" t="s">
        <v>128</v>
      </c>
      <c r="E15" s="28"/>
    </row>
    <row r="16" spans="2:9" ht="15" customHeight="1">
      <c r="B16" s="23" t="s">
        <v>80</v>
      </c>
      <c r="C16" s="11" t="s">
        <v>81</v>
      </c>
      <c r="D16" s="12"/>
      <c r="E16" s="12"/>
      <c r="F16" s="13">
        <f>'Profit &amp; Loss'!F5/F17</f>
        <v>35.45269506219374</v>
      </c>
      <c r="G16" s="11">
        <v>40</v>
      </c>
      <c r="H16" s="11">
        <v>40</v>
      </c>
      <c r="I16" s="44">
        <v>40</v>
      </c>
    </row>
    <row r="17" spans="2:10" ht="15" customHeight="1">
      <c r="B17" s="24"/>
      <c r="C17" s="15" t="s">
        <v>82</v>
      </c>
      <c r="D17" s="16"/>
      <c r="E17" s="16"/>
      <c r="F17" s="25">
        <f>('Balance Sheet'!E19+'Balance Sheet'!F19)/2</f>
        <v>1326.5</v>
      </c>
      <c r="G17" s="25">
        <f>'Profit &amp; Loss'!G5/G16</f>
        <v>1293.7873079999999</v>
      </c>
      <c r="H17" s="25">
        <f>'Profit &amp; Loss'!H5/H16</f>
        <v>1435.4156170321439</v>
      </c>
      <c r="I17" s="43">
        <f>'Profit &amp; Loss'!I5/I16</f>
        <v>1596.1557544923908</v>
      </c>
    </row>
    <row r="18" spans="2:10" ht="15" customHeight="1">
      <c r="B18" s="26"/>
      <c r="C18" s="19" t="s">
        <v>83</v>
      </c>
      <c r="D18" s="27"/>
      <c r="E18" s="20">
        <f>'Balance Sheet'!E19</f>
        <v>991</v>
      </c>
      <c r="F18" s="20">
        <f>'Balance Sheet'!F19</f>
        <v>1662</v>
      </c>
      <c r="G18" s="29">
        <f>G17*2-'Balance Sheet'!F19</f>
        <v>925.57461599999988</v>
      </c>
      <c r="H18" s="29">
        <f>H17*2-'Balance Sheet'!G19</f>
        <v>1945.256618064288</v>
      </c>
      <c r="I18" s="45">
        <f>I17*2-'Balance Sheet'!H19</f>
        <v>1247.0548909204936</v>
      </c>
    </row>
    <row r="19" spans="2:10" s="68" customFormat="1" ht="15" customHeight="1">
      <c r="B19" s="16"/>
      <c r="C19" s="15"/>
      <c r="D19" s="16"/>
      <c r="E19" s="25"/>
      <c r="F19" s="25"/>
      <c r="G19" s="31"/>
      <c r="H19" s="31"/>
      <c r="I19" s="31"/>
    </row>
    <row r="20" spans="2:10" ht="15" customHeight="1">
      <c r="B20" s="69" t="s">
        <v>129</v>
      </c>
    </row>
    <row r="21" spans="2:10" ht="15" customHeight="1">
      <c r="B21" s="23" t="s">
        <v>84</v>
      </c>
      <c r="C21" s="30" t="s">
        <v>85</v>
      </c>
      <c r="D21" s="12"/>
      <c r="E21" s="12"/>
      <c r="F21" s="13">
        <f>'Profit &amp; Loss'!F7/F22</f>
        <v>2.4996587030716722</v>
      </c>
      <c r="G21" s="13">
        <v>3</v>
      </c>
      <c r="H21" s="13">
        <v>3</v>
      </c>
      <c r="I21" s="39">
        <v>3</v>
      </c>
    </row>
    <row r="22" spans="2:10" ht="15" customHeight="1">
      <c r="B22" s="24"/>
      <c r="C22" s="15" t="s">
        <v>86</v>
      </c>
      <c r="D22" s="16"/>
      <c r="E22" s="16"/>
      <c r="F22" s="25">
        <f t="shared" ref="F22:I22" si="3">(E25+F25)/2</f>
        <v>8057.5</v>
      </c>
      <c r="G22" s="25">
        <f t="shared" si="3"/>
        <v>7624.2387527242245</v>
      </c>
      <c r="H22" s="25">
        <f t="shared" si="3"/>
        <v>8458.8489205074402</v>
      </c>
      <c r="I22" s="43">
        <f t="shared" si="3"/>
        <v>9406.0843567841366</v>
      </c>
    </row>
    <row r="23" spans="2:10" ht="15" customHeight="1">
      <c r="B23" s="24"/>
      <c r="C23" s="15" t="s">
        <v>87</v>
      </c>
      <c r="D23" s="16"/>
      <c r="E23" s="16"/>
      <c r="F23" s="25">
        <f>'Profit &amp; Loss'!F7</f>
        <v>20141</v>
      </c>
      <c r="G23" s="25">
        <f t="shared" ref="G23:I23" si="4">G22*G21</f>
        <v>22872.716258172673</v>
      </c>
      <c r="H23" s="25">
        <f t="shared" si="4"/>
        <v>25376.546761522321</v>
      </c>
      <c r="I23" s="43">
        <f t="shared" si="4"/>
        <v>28218.25307035241</v>
      </c>
      <c r="J23" s="28"/>
    </row>
    <row r="24" spans="2:10" ht="15" customHeight="1">
      <c r="B24" s="24"/>
      <c r="C24" s="15" t="s">
        <v>88</v>
      </c>
      <c r="D24" s="15">
        <f>5.5/100</f>
        <v>5.5E-2</v>
      </c>
      <c r="E24" s="16"/>
      <c r="F24" s="16"/>
      <c r="G24" s="31">
        <f>G23+G23*D24</f>
        <v>24130.715652372171</v>
      </c>
      <c r="H24" s="31">
        <f>H23+H23*D24</f>
        <v>26772.256833406049</v>
      </c>
      <c r="I24" s="46">
        <f>I23+I23*D24</f>
        <v>29770.256989221791</v>
      </c>
    </row>
    <row r="25" spans="2:10" ht="15" customHeight="1">
      <c r="B25" s="24"/>
      <c r="C25" s="15" t="s">
        <v>89</v>
      </c>
      <c r="D25" s="16"/>
      <c r="E25" s="25">
        <f>'Balance Sheet'!E9</f>
        <v>7415</v>
      </c>
      <c r="F25" s="25">
        <f>'Balance Sheet'!F9</f>
        <v>8700</v>
      </c>
      <c r="G25" s="25">
        <f t="shared" ref="G25:I25" si="5">G30</f>
        <v>6548.4775054484498</v>
      </c>
      <c r="H25" s="25">
        <f t="shared" si="5"/>
        <v>10369.220335566431</v>
      </c>
      <c r="I25" s="43">
        <f t="shared" si="5"/>
        <v>8442.9483780018418</v>
      </c>
    </row>
    <row r="26" spans="2:10" ht="15" customHeight="1">
      <c r="B26" s="18" t="s">
        <v>84</v>
      </c>
      <c r="C26" s="32" t="s">
        <v>85</v>
      </c>
      <c r="D26" s="27"/>
      <c r="E26" s="27"/>
      <c r="F26" s="27"/>
      <c r="G26" s="19">
        <f t="shared" ref="G26:I26" si="6">G24/G22</f>
        <v>3.165</v>
      </c>
      <c r="H26" s="19">
        <f t="shared" si="6"/>
        <v>3.165</v>
      </c>
      <c r="I26" s="47">
        <f t="shared" si="6"/>
        <v>3.165</v>
      </c>
    </row>
    <row r="27" spans="2:10" s="68" customFormat="1" ht="15" customHeight="1">
      <c r="B27" s="15"/>
      <c r="C27" s="70"/>
      <c r="D27" s="16"/>
      <c r="E27" s="16"/>
      <c r="F27" s="16"/>
      <c r="G27" s="15"/>
      <c r="H27" s="15"/>
      <c r="I27" s="15"/>
    </row>
    <row r="28" spans="2:10" ht="15" customHeight="1">
      <c r="B28" s="69" t="s">
        <v>130</v>
      </c>
    </row>
    <row r="29" spans="2:10" ht="15" customHeight="1">
      <c r="B29" s="23" t="s">
        <v>90</v>
      </c>
      <c r="C29" s="11" t="s">
        <v>91</v>
      </c>
      <c r="D29" s="12"/>
      <c r="E29" s="12"/>
      <c r="F29" s="13">
        <f>F25/F13</f>
        <v>2.4308466051969826</v>
      </c>
      <c r="G29" s="13">
        <f t="shared" ref="G29:I29" si="7">F29</f>
        <v>2.4308466051969826</v>
      </c>
      <c r="H29" s="13">
        <f t="shared" si="7"/>
        <v>2.4308466051969826</v>
      </c>
      <c r="I29" s="39">
        <f t="shared" si="7"/>
        <v>2.4308466051969826</v>
      </c>
    </row>
    <row r="30" spans="2:10" ht="15" customHeight="1">
      <c r="B30" s="26"/>
      <c r="C30" s="19" t="s">
        <v>89</v>
      </c>
      <c r="D30" s="27"/>
      <c r="E30" s="27"/>
      <c r="F30" s="27"/>
      <c r="G30" s="29">
        <f t="shared" ref="G30:I30" si="8">G13*G29</f>
        <v>6548.4775054484498</v>
      </c>
      <c r="H30" s="29">
        <f t="shared" si="8"/>
        <v>10369.220335566431</v>
      </c>
      <c r="I30" s="45">
        <f t="shared" si="8"/>
        <v>8442.9483780018418</v>
      </c>
    </row>
    <row r="31" spans="2:10" s="68" customFormat="1" ht="15" customHeight="1">
      <c r="B31" s="16"/>
      <c r="C31" s="15"/>
      <c r="D31" s="16"/>
      <c r="E31" s="16"/>
      <c r="F31" s="16"/>
      <c r="G31" s="31"/>
      <c r="H31" s="31"/>
      <c r="I31" s="31"/>
    </row>
    <row r="32" spans="2:10" ht="15" customHeight="1">
      <c r="B32" s="69" t="s">
        <v>131</v>
      </c>
    </row>
    <row r="33" spans="2:9" ht="15" customHeight="1">
      <c r="B33" s="23" t="s">
        <v>92</v>
      </c>
      <c r="C33" s="12"/>
      <c r="D33" s="12"/>
      <c r="E33" s="11">
        <f>'Profit &amp; Loss'!E8*1/4</f>
        <v>74.75</v>
      </c>
      <c r="F33" s="11">
        <f>'Profit &amp; Loss'!F8*1/4</f>
        <v>84.75</v>
      </c>
      <c r="G33" s="13">
        <f t="shared" ref="G33:I33" si="9">F33+F33*7/100</f>
        <v>90.682500000000005</v>
      </c>
      <c r="H33" s="13">
        <f t="shared" si="9"/>
        <v>97.030275000000003</v>
      </c>
      <c r="I33" s="39">
        <f t="shared" si="9"/>
        <v>103.82239425</v>
      </c>
    </row>
    <row r="34" spans="2:9" ht="15" customHeight="1">
      <c r="B34" s="14" t="s">
        <v>93</v>
      </c>
      <c r="C34" s="16"/>
      <c r="D34" s="16"/>
      <c r="E34" s="15">
        <f>'Profit &amp; Loss'!E8*1/4</f>
        <v>74.75</v>
      </c>
      <c r="F34" s="15">
        <f>'Profit &amp; Loss'!F8*1/4</f>
        <v>84.75</v>
      </c>
      <c r="G34" s="17">
        <f t="shared" ref="G34:I34" si="10">F34+F34*9/100</f>
        <v>92.377499999999998</v>
      </c>
      <c r="H34" s="17">
        <f t="shared" si="10"/>
        <v>100.691475</v>
      </c>
      <c r="I34" s="41">
        <f t="shared" si="10"/>
        <v>109.75370774999999</v>
      </c>
    </row>
    <row r="35" spans="2:9" ht="15" customHeight="1">
      <c r="B35" s="14" t="s">
        <v>94</v>
      </c>
      <c r="C35" s="16"/>
      <c r="D35" s="16"/>
      <c r="E35" s="15">
        <f>'Profit &amp; Loss'!E8*2/4</f>
        <v>149.5</v>
      </c>
      <c r="F35" s="15">
        <f>'Profit &amp; Loss'!F8*2/4</f>
        <v>169.5</v>
      </c>
      <c r="G35" s="15">
        <f>F35</f>
        <v>169.5</v>
      </c>
      <c r="H35" s="15">
        <f>F35</f>
        <v>169.5</v>
      </c>
      <c r="I35" s="41">
        <f>H35+H35*15/100</f>
        <v>194.92500000000001</v>
      </c>
    </row>
    <row r="36" spans="2:9" ht="15" customHeight="1">
      <c r="B36" s="18" t="s">
        <v>95</v>
      </c>
      <c r="C36" s="27"/>
      <c r="D36" s="27"/>
      <c r="E36" s="19">
        <f t="shared" ref="E36:I36" si="11">SUM(E33:E35)</f>
        <v>299</v>
      </c>
      <c r="F36" s="19">
        <f t="shared" si="11"/>
        <v>339</v>
      </c>
      <c r="G36" s="33">
        <f t="shared" si="11"/>
        <v>352.56</v>
      </c>
      <c r="H36" s="33">
        <f t="shared" si="11"/>
        <v>367.22174999999999</v>
      </c>
      <c r="I36" s="48">
        <f t="shared" si="11"/>
        <v>408.501102</v>
      </c>
    </row>
    <row r="37" spans="2:9" s="68" customFormat="1" ht="15" customHeight="1">
      <c r="B37" s="15"/>
      <c r="C37" s="16"/>
      <c r="D37" s="16"/>
      <c r="E37" s="15"/>
      <c r="F37" s="15"/>
      <c r="G37" s="71"/>
      <c r="H37" s="71"/>
      <c r="I37" s="71"/>
    </row>
    <row r="38" spans="2:9" ht="15" customHeight="1">
      <c r="B38" s="69" t="s">
        <v>132</v>
      </c>
    </row>
    <row r="39" spans="2:9" ht="15" customHeight="1">
      <c r="B39" s="10" t="s">
        <v>96</v>
      </c>
      <c r="C39" s="12"/>
      <c r="D39" s="34">
        <f t="shared" ref="D39:F39" si="12">D42+D40</f>
        <v>6050</v>
      </c>
      <c r="E39" s="34">
        <f t="shared" si="12"/>
        <v>6481</v>
      </c>
      <c r="F39" s="34">
        <f t="shared" si="12"/>
        <v>11193</v>
      </c>
      <c r="G39" s="34">
        <f t="shared" ref="G39:I39" si="13">F42</f>
        <v>10119</v>
      </c>
      <c r="H39" s="34">
        <f t="shared" si="13"/>
        <v>9148.0533369069963</v>
      </c>
      <c r="I39" s="49">
        <f t="shared" si="13"/>
        <v>8270.2717516449466</v>
      </c>
    </row>
    <row r="40" spans="2:9" ht="15" customHeight="1">
      <c r="B40" s="14" t="s">
        <v>22</v>
      </c>
      <c r="C40" s="16"/>
      <c r="D40" s="25">
        <f>'Profit &amp; Loss'!D17</f>
        <v>850</v>
      </c>
      <c r="E40" s="25">
        <f>'Profit &amp; Loss'!E17</f>
        <v>1002</v>
      </c>
      <c r="F40" s="25">
        <f>'Profit &amp; Loss'!F17</f>
        <v>1074</v>
      </c>
      <c r="G40" s="17">
        <f>G39*F41</f>
        <v>970.94666309300453</v>
      </c>
      <c r="H40" s="17">
        <f t="shared" ref="H40:I40" si="14">H39*H41</f>
        <v>877.78158526204902</v>
      </c>
      <c r="I40" s="41">
        <f t="shared" si="14"/>
        <v>793.55596008815087</v>
      </c>
    </row>
    <row r="41" spans="2:9" ht="15" customHeight="1">
      <c r="B41" s="14" t="s">
        <v>97</v>
      </c>
      <c r="C41" s="16"/>
      <c r="D41" s="16"/>
      <c r="E41" s="16"/>
      <c r="F41" s="35">
        <f>F40/F39</f>
        <v>9.5952827660144735E-2</v>
      </c>
      <c r="G41" s="35">
        <f>F41</f>
        <v>9.5952827660144735E-2</v>
      </c>
      <c r="H41" s="35">
        <f>F41</f>
        <v>9.5952827660144735E-2</v>
      </c>
      <c r="I41" s="50">
        <f>F41</f>
        <v>9.5952827660144735E-2</v>
      </c>
    </row>
    <row r="42" spans="2:9" ht="15" customHeight="1">
      <c r="B42" s="18" t="s">
        <v>98</v>
      </c>
      <c r="C42" s="27"/>
      <c r="D42" s="20">
        <f>'Balance Sheet'!D14</f>
        <v>5200</v>
      </c>
      <c r="E42" s="20">
        <f>'Balance Sheet'!E14</f>
        <v>5479</v>
      </c>
      <c r="F42" s="20">
        <f>'Balance Sheet'!F14</f>
        <v>10119</v>
      </c>
      <c r="G42" s="20">
        <f t="shared" ref="G42:I42" si="15">G39-G40</f>
        <v>9148.0533369069963</v>
      </c>
      <c r="H42" s="20">
        <f t="shared" si="15"/>
        <v>8270.2717516449466</v>
      </c>
      <c r="I42" s="42">
        <f t="shared" si="15"/>
        <v>7476.7157915567959</v>
      </c>
    </row>
    <row r="44" spans="2:9" ht="15" customHeight="1">
      <c r="B44" s="23" t="s">
        <v>99</v>
      </c>
      <c r="C44" s="12"/>
      <c r="D44" s="12"/>
      <c r="E44" s="12"/>
      <c r="F44" s="12"/>
      <c r="G44" s="11">
        <v>0</v>
      </c>
      <c r="H44" s="34">
        <f t="shared" ref="H44:I44" si="16">G47</f>
        <v>860.11500000000001</v>
      </c>
      <c r="I44" s="49">
        <f t="shared" si="16"/>
        <v>1581.7920586370947</v>
      </c>
    </row>
    <row r="45" spans="2:9" ht="15" customHeight="1">
      <c r="B45" s="14" t="s">
        <v>100</v>
      </c>
      <c r="C45" s="16"/>
      <c r="D45" s="16"/>
      <c r="E45" s="16"/>
      <c r="F45" s="16"/>
      <c r="G45" s="31">
        <f>G39*10/100</f>
        <v>1011.9</v>
      </c>
      <c r="H45" s="31">
        <f t="shared" ref="H45:I45" si="17">G50*10/100</f>
        <v>1000.8168336906996</v>
      </c>
      <c r="I45" s="46">
        <f t="shared" si="17"/>
        <v>985.20638102820408</v>
      </c>
    </row>
    <row r="46" spans="2:9" ht="15" customHeight="1">
      <c r="B46" s="14" t="s">
        <v>101</v>
      </c>
      <c r="C46" s="16"/>
      <c r="D46" s="16"/>
      <c r="E46" s="16"/>
      <c r="F46" s="16"/>
      <c r="G46" s="25">
        <f>G45*15/100</f>
        <v>151.785</v>
      </c>
      <c r="H46" s="25">
        <f>(H45+H44)*15/100</f>
        <v>279.13977505360492</v>
      </c>
      <c r="I46" s="43">
        <f>(I44+I45)*15/100</f>
        <v>385.04976594979485</v>
      </c>
    </row>
    <row r="47" spans="2:9" ht="15" customHeight="1">
      <c r="B47" s="18" t="s">
        <v>102</v>
      </c>
      <c r="C47" s="27"/>
      <c r="D47" s="27"/>
      <c r="E47" s="27"/>
      <c r="F47" s="27"/>
      <c r="G47" s="20">
        <f>G45-G46</f>
        <v>860.11500000000001</v>
      </c>
      <c r="H47" s="20">
        <f>H44+H45-H46</f>
        <v>1581.7920586370947</v>
      </c>
      <c r="I47" s="42">
        <v>2181.837378315</v>
      </c>
    </row>
    <row r="48" spans="2:9" ht="15" customHeight="1">
      <c r="G48" s="22"/>
      <c r="H48" s="22"/>
      <c r="I48" s="22"/>
    </row>
    <row r="49" spans="2:9" ht="15" customHeight="1">
      <c r="B49" s="23" t="s">
        <v>103</v>
      </c>
      <c r="C49" s="12"/>
      <c r="D49" s="34">
        <f>D40</f>
        <v>850</v>
      </c>
      <c r="E49" s="34">
        <f>E40</f>
        <v>1002</v>
      </c>
      <c r="F49" s="34">
        <f>F40</f>
        <v>1074</v>
      </c>
      <c r="G49" s="34">
        <f>G40+G46</f>
        <v>1122.7316630930045</v>
      </c>
      <c r="H49" s="34">
        <f>H40+H46</f>
        <v>1156.9213603156541</v>
      </c>
      <c r="I49" s="49">
        <f>I40+I46</f>
        <v>1178.6057260379457</v>
      </c>
    </row>
    <row r="50" spans="2:9" ht="15" customHeight="1">
      <c r="B50" s="18" t="s">
        <v>104</v>
      </c>
      <c r="C50" s="27"/>
      <c r="D50" s="20">
        <f>D42</f>
        <v>5200</v>
      </c>
      <c r="E50" s="20">
        <v>5479</v>
      </c>
      <c r="F50" s="20">
        <v>10119</v>
      </c>
      <c r="G50" s="29">
        <f>G42+G47</f>
        <v>10008.168336906996</v>
      </c>
      <c r="H50" s="29">
        <f>H42+H47</f>
        <v>9852.0638102820412</v>
      </c>
      <c r="I50" s="45">
        <f>I42+I47</f>
        <v>9658.5531698717969</v>
      </c>
    </row>
    <row r="52" spans="2:9" s="68" customFormat="1" ht="15" customHeight="1">
      <c r="B52" s="69" t="s">
        <v>133</v>
      </c>
    </row>
    <row r="53" spans="2:9" ht="15" customHeight="1">
      <c r="B53" s="36" t="s">
        <v>105</v>
      </c>
      <c r="C53" s="37"/>
      <c r="D53" s="37"/>
      <c r="E53" s="37"/>
      <c r="F53" s="37"/>
      <c r="G53" s="38">
        <f>'Balance Sheet'!G15-'Balance Sheet'!F15</f>
        <v>74.5</v>
      </c>
      <c r="H53" s="38">
        <f>'Balance Sheet'!H15-'Balance Sheet'!G15</f>
        <v>81.950000000000045</v>
      </c>
      <c r="I53" s="51">
        <f>'Balance Sheet'!I15-'Balance Sheet'!H15</f>
        <v>90.144999999999982</v>
      </c>
    </row>
    <row r="54" spans="2:9" ht="15" customHeight="1">
      <c r="B54" s="21"/>
    </row>
    <row r="55" spans="2:9" ht="15" customHeight="1">
      <c r="B55" s="23" t="s">
        <v>106</v>
      </c>
      <c r="C55" s="12"/>
      <c r="D55" s="12"/>
      <c r="E55" s="12"/>
      <c r="F55" s="12"/>
      <c r="G55" s="34">
        <f t="shared" ref="G55:I55" si="18">G45+G53</f>
        <v>1086.4000000000001</v>
      </c>
      <c r="H55" s="34">
        <f t="shared" si="18"/>
        <v>1082.7668336906995</v>
      </c>
      <c r="I55" s="49">
        <f t="shared" si="18"/>
        <v>1075.3513810282041</v>
      </c>
    </row>
    <row r="56" spans="2:9" ht="15" customHeight="1">
      <c r="B56" s="18" t="s">
        <v>107</v>
      </c>
      <c r="C56" s="27"/>
      <c r="D56" s="27"/>
      <c r="E56" s="27"/>
      <c r="F56" s="27"/>
      <c r="G56" s="20">
        <f t="shared" ref="G56:I56" si="19">G55*60/100</f>
        <v>651.84</v>
      </c>
      <c r="H56" s="20">
        <f t="shared" si="19"/>
        <v>649.66010021441969</v>
      </c>
      <c r="I56" s="42">
        <f t="shared" si="19"/>
        <v>645.21082861692241</v>
      </c>
    </row>
    <row r="57" spans="2:9" s="68" customFormat="1" ht="15" customHeight="1">
      <c r="B57" s="15"/>
      <c r="C57" s="16"/>
      <c r="D57" s="16"/>
      <c r="E57" s="16"/>
      <c r="F57" s="16"/>
      <c r="G57" s="25"/>
      <c r="H57" s="25"/>
      <c r="I57" s="25"/>
    </row>
    <row r="58" spans="2:9" ht="15" customHeight="1">
      <c r="B58" s="23" t="s">
        <v>108</v>
      </c>
      <c r="C58" s="12"/>
      <c r="D58" s="12"/>
      <c r="E58" s="12"/>
      <c r="F58" s="12"/>
      <c r="G58" s="34">
        <v>0</v>
      </c>
      <c r="H58" s="34">
        <f t="shared" ref="H58:I58" si="20">G62</f>
        <v>434.56000000000006</v>
      </c>
      <c r="I58" s="49">
        <f t="shared" si="20"/>
        <v>722.81340014294642</v>
      </c>
    </row>
    <row r="59" spans="2:9" ht="15" customHeight="1">
      <c r="B59" s="14" t="s">
        <v>109</v>
      </c>
      <c r="C59" s="16"/>
      <c r="D59" s="16"/>
      <c r="E59" s="16"/>
      <c r="F59" s="16"/>
      <c r="G59" s="25">
        <f>G56</f>
        <v>651.84</v>
      </c>
      <c r="H59" s="25">
        <f>H56</f>
        <v>649.66010021441969</v>
      </c>
      <c r="I59" s="43">
        <f>I56</f>
        <v>645.21082861692241</v>
      </c>
    </row>
    <row r="60" spans="2:9" ht="15" customHeight="1">
      <c r="B60" s="14" t="s">
        <v>67</v>
      </c>
      <c r="C60" s="16"/>
      <c r="D60" s="16"/>
      <c r="E60" s="16"/>
      <c r="F60" s="16"/>
      <c r="G60" s="25">
        <f>G59*12/36</f>
        <v>217.28</v>
      </c>
      <c r="H60" s="25">
        <f t="shared" ref="H60:I60" si="21">(H58+H59)*12/36</f>
        <v>361.40670007147327</v>
      </c>
      <c r="I60" s="43">
        <f t="shared" si="21"/>
        <v>456.00807625328969</v>
      </c>
    </row>
    <row r="61" spans="2:9" ht="15" customHeight="1">
      <c r="B61" s="14" t="s">
        <v>110</v>
      </c>
      <c r="C61" s="16"/>
      <c r="D61" s="16"/>
      <c r="E61" s="16"/>
      <c r="F61" s="16"/>
      <c r="G61" s="25">
        <f>G59*6/100</f>
        <v>39.110399999999998</v>
      </c>
      <c r="H61" s="25">
        <f t="shared" ref="H61:I61" si="22">(H58+H59)*6/100</f>
        <v>65.053206012865189</v>
      </c>
      <c r="I61" s="43">
        <f t="shared" si="22"/>
        <v>82.081453725592141</v>
      </c>
    </row>
    <row r="62" spans="2:9" ht="15" customHeight="1">
      <c r="B62" s="18" t="s">
        <v>111</v>
      </c>
      <c r="C62" s="27"/>
      <c r="D62" s="27"/>
      <c r="E62" s="27"/>
      <c r="F62" s="27"/>
      <c r="G62" s="20">
        <f>G59-G60</f>
        <v>434.56000000000006</v>
      </c>
      <c r="H62" s="20">
        <f t="shared" ref="H62:I62" si="23">H58+H59-H60</f>
        <v>722.81340014294642</v>
      </c>
      <c r="I62" s="42">
        <f t="shared" si="23"/>
        <v>912.01615250657926</v>
      </c>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abSelected="1" workbookViewId="0">
      <selection activeCell="J35" sqref="J35"/>
    </sheetView>
  </sheetViews>
  <sheetFormatPr defaultColWidth="12.59765625" defaultRowHeight="15" customHeight="1"/>
  <cols>
    <col min="1" max="1" width="8.69921875" customWidth="1"/>
    <col min="2" max="2" width="24.59765625" customWidth="1"/>
    <col min="3" max="3" width="8.5" hidden="1" customWidth="1"/>
    <col min="4" max="9" width="8.69921875" customWidth="1"/>
    <col min="10" max="10" width="24.69921875" customWidth="1"/>
    <col min="11" max="16" width="9.09765625" customWidth="1"/>
    <col min="17" max="17" width="8.69921875" customWidth="1"/>
    <col min="18" max="18" width="25.69921875" customWidth="1"/>
    <col min="19" max="20" width="9.09765625" customWidth="1"/>
    <col min="21" max="21" width="7.59765625" customWidth="1"/>
    <col min="22" max="23" width="8.59765625" customWidth="1"/>
    <col min="24" max="24" width="8.69921875" customWidth="1"/>
    <col min="25" max="25" width="8.59765625" customWidth="1"/>
  </cols>
  <sheetData>
    <row r="1" spans="1:25" ht="15" customHeight="1">
      <c r="A1" s="1"/>
      <c r="B1" s="1"/>
      <c r="C1" s="1"/>
      <c r="D1" s="1"/>
      <c r="E1" s="1"/>
      <c r="F1" s="1"/>
      <c r="G1" s="1"/>
      <c r="H1" s="1"/>
      <c r="I1" s="1"/>
      <c r="J1" s="1"/>
      <c r="K1" s="1"/>
      <c r="L1" s="1"/>
      <c r="M1" s="1"/>
      <c r="N1" s="1"/>
      <c r="O1" s="1"/>
      <c r="P1" s="1"/>
      <c r="Q1" s="1"/>
      <c r="R1" s="1"/>
      <c r="S1" s="1"/>
      <c r="T1" s="1"/>
      <c r="U1" s="1"/>
      <c r="V1" s="1"/>
      <c r="W1" s="1"/>
      <c r="X1" s="1"/>
      <c r="Y1" s="1"/>
    </row>
    <row r="2" spans="1:25" ht="15" customHeight="1">
      <c r="A2" s="1"/>
      <c r="B2" s="2" t="s">
        <v>2</v>
      </c>
      <c r="C2" s="2" t="s">
        <v>3</v>
      </c>
      <c r="D2" s="2" t="s">
        <v>4</v>
      </c>
      <c r="E2" s="2" t="s">
        <v>5</v>
      </c>
      <c r="F2" s="3" t="s">
        <v>6</v>
      </c>
      <c r="G2" s="3" t="s">
        <v>7</v>
      </c>
      <c r="H2" s="3" t="s">
        <v>8</v>
      </c>
      <c r="I2" s="1"/>
      <c r="J2" s="2" t="s">
        <v>2</v>
      </c>
      <c r="K2" s="2" t="s">
        <v>3</v>
      </c>
      <c r="L2" s="2" t="s">
        <v>4</v>
      </c>
      <c r="M2" s="2" t="s">
        <v>5</v>
      </c>
      <c r="N2" s="3" t="s">
        <v>6</v>
      </c>
      <c r="O2" s="3" t="s">
        <v>7</v>
      </c>
      <c r="P2" s="3" t="s">
        <v>8</v>
      </c>
      <c r="Q2" s="1"/>
      <c r="R2" s="2" t="s">
        <v>2</v>
      </c>
      <c r="S2" s="2" t="s">
        <v>4</v>
      </c>
      <c r="T2" s="2" t="s">
        <v>5</v>
      </c>
      <c r="U2" s="3" t="s">
        <v>6</v>
      </c>
      <c r="V2" s="3" t="s">
        <v>7</v>
      </c>
      <c r="W2" s="3" t="s">
        <v>8</v>
      </c>
      <c r="X2" s="1"/>
      <c r="Y2" s="1"/>
    </row>
    <row r="3" spans="1:25" ht="15" customHeight="1">
      <c r="A3" s="1"/>
      <c r="B3" s="1" t="s">
        <v>112</v>
      </c>
      <c r="C3" s="4">
        <v>0.10589999999999999</v>
      </c>
      <c r="D3" s="4">
        <v>1.2E-2</v>
      </c>
      <c r="E3" s="4">
        <v>0.18210000000000001</v>
      </c>
      <c r="F3" s="4">
        <v>0.10044</v>
      </c>
      <c r="G3" s="4">
        <v>0.109468</v>
      </c>
      <c r="H3" s="4">
        <v>0.1119816</v>
      </c>
      <c r="I3" s="1"/>
      <c r="J3" s="1" t="s">
        <v>113</v>
      </c>
      <c r="K3" s="5">
        <f>SUM('Balance Sheet'!D5:D7)</f>
        <v>15229</v>
      </c>
      <c r="L3" s="5">
        <f>SUM('Balance Sheet'!E5:E7)</f>
        <v>17424</v>
      </c>
      <c r="M3" s="5">
        <f>SUM('Balance Sheet'!F5:F7)</f>
        <v>29100</v>
      </c>
      <c r="N3" s="5">
        <f>SUM('Balance Sheet'!G5:G7)</f>
        <v>38916.367935174378</v>
      </c>
      <c r="O3" s="5">
        <f>SUM('Balance Sheet'!H5:H7)</f>
        <v>52392.569697724379</v>
      </c>
      <c r="P3" s="5">
        <f>SUM('Balance Sheet'!I5:I7)</f>
        <v>66481.721322352561</v>
      </c>
      <c r="Q3" s="1"/>
      <c r="R3" s="1" t="s">
        <v>114</v>
      </c>
      <c r="S3" s="5">
        <f>'Cash Flow'!C21</f>
        <v>10117</v>
      </c>
      <c r="T3" s="5">
        <f>'Cash Flow'!D21</f>
        <v>16902</v>
      </c>
      <c r="U3" s="6">
        <f>'Cash Flow'!E21</f>
        <v>8122.4447277158297</v>
      </c>
      <c r="V3" s="6">
        <f>'Cash Flow'!F21</f>
        <v>15585.50920633038</v>
      </c>
      <c r="W3" s="6">
        <f>'Cash Flow'!G21</f>
        <v>14671.294251046806</v>
      </c>
      <c r="X3" s="1"/>
      <c r="Y3" s="1"/>
    </row>
    <row r="4" spans="1:25" ht="15" customHeight="1">
      <c r="A4" s="1"/>
      <c r="B4" s="1" t="s">
        <v>115</v>
      </c>
      <c r="C4" s="1"/>
      <c r="D4" s="4">
        <f t="shared" ref="D4:H4" si="0">D5-C5</f>
        <v>2.5055039590797634E-2</v>
      </c>
      <c r="E4" s="4">
        <f t="shared" si="0"/>
        <v>6.8680274207914838E-3</v>
      </c>
      <c r="F4" s="4">
        <f t="shared" si="0"/>
        <v>2.9877116242041646E-3</v>
      </c>
      <c r="G4" s="4">
        <f t="shared" si="0"/>
        <v>4.8402926706536731E-2</v>
      </c>
      <c r="H4" s="4">
        <f t="shared" si="0"/>
        <v>-1.1978891256847229E-2</v>
      </c>
      <c r="I4" s="1"/>
      <c r="J4" s="1" t="s">
        <v>116</v>
      </c>
      <c r="K4" s="5">
        <f>'Profit &amp; Loss'!D21+'Profit &amp; Loss'!D20+'Profit &amp; Loss'!D18</f>
        <v>8352</v>
      </c>
      <c r="L4" s="5">
        <f>'Profit &amp; Loss'!E21+'Profit &amp; Loss'!E20+'Profit &amp; Loss'!E18</f>
        <v>9368</v>
      </c>
      <c r="M4" s="5">
        <f>'Profit &amp; Loss'!F21+'Profit &amp; Loss'!F20+'Profit &amp; Loss'!F18</f>
        <v>11129</v>
      </c>
      <c r="N4" s="5">
        <f>'Profit &amp; Loss'!G21+'Profit &amp; Loss'!G20+'Profit &amp; Loss'!G18</f>
        <v>13558.993164534822</v>
      </c>
      <c r="O4" s="5">
        <f>'Profit &amp; Loss'!H21+'Profit &amp; Loss'!H20+'Profit &amp; Loss'!H18</f>
        <v>19022.279438022932</v>
      </c>
      <c r="P4" s="5">
        <f>'Profit &amp; Loss'!I21+'Profit &amp; Loss'!I20+'Profit &amp; Loss'!I18</f>
        <v>20056.451271246391</v>
      </c>
      <c r="Q4" s="1"/>
      <c r="R4" s="1" t="s">
        <v>117</v>
      </c>
      <c r="S4" s="5">
        <f>'Cash Flow'!C35</f>
        <v>-238</v>
      </c>
      <c r="T4" s="5">
        <f>'Cash Flow'!D35</f>
        <v>-138</v>
      </c>
      <c r="U4" s="6">
        <f>'Cash Flow'!E35</f>
        <v>278.14960000000008</v>
      </c>
      <c r="V4" s="6">
        <f>'Cash Flow'!F35</f>
        <v>105.90019413008122</v>
      </c>
      <c r="W4" s="6">
        <f>'Cash Flow'!G35</f>
        <v>-10.178701361959412</v>
      </c>
      <c r="X4" s="1"/>
      <c r="Y4" s="1"/>
    </row>
    <row r="5" spans="1:25" ht="15" customHeight="1">
      <c r="A5" s="1"/>
      <c r="B5" s="1" t="s">
        <v>118</v>
      </c>
      <c r="C5" s="4">
        <f>'Profit &amp; Loss'!D21/'Profit &amp; Loss'!D5</f>
        <v>0.14637496820147544</v>
      </c>
      <c r="D5" s="4">
        <f>'Profit &amp; Loss'!E21/'Profit &amp; Loss'!E5</f>
        <v>0.17143000779227308</v>
      </c>
      <c r="E5" s="4">
        <f>'Profit &amp; Loss'!F21/'Profit &amp; Loss'!F5</f>
        <v>0.17829803521306456</v>
      </c>
      <c r="F5" s="4">
        <f>'Profit &amp; Loss'!G21/'Profit &amp; Loss'!G5</f>
        <v>0.18128574683726872</v>
      </c>
      <c r="G5" s="4">
        <f>'Profit &amp; Loss'!H21/'Profit &amp; Loss'!H5</f>
        <v>0.22968867354380545</v>
      </c>
      <c r="H5" s="4">
        <f>'Profit &amp; Loss'!I21/'Profit &amp; Loss'!I5</f>
        <v>0.21770978228695823</v>
      </c>
      <c r="I5" s="1"/>
      <c r="J5" s="1" t="s">
        <v>119</v>
      </c>
      <c r="K5" s="4">
        <f t="shared" ref="K5:P5" si="1">K4/K3</f>
        <v>0.54842734257009651</v>
      </c>
      <c r="L5" s="4">
        <f t="shared" si="1"/>
        <v>0.5376492194674013</v>
      </c>
      <c r="M5" s="4">
        <f t="shared" si="1"/>
        <v>0.38243986254295531</v>
      </c>
      <c r="N5" s="4">
        <f t="shared" si="1"/>
        <v>0.34841363374714085</v>
      </c>
      <c r="O5" s="4">
        <f t="shared" si="1"/>
        <v>0.36307208346089476</v>
      </c>
      <c r="P5" s="4">
        <f t="shared" si="1"/>
        <v>0.30168369398857592</v>
      </c>
      <c r="Q5" s="1"/>
      <c r="R5" s="1" t="s">
        <v>120</v>
      </c>
      <c r="S5" s="5">
        <f>'Cash Flow'!C29</f>
        <v>467</v>
      </c>
      <c r="T5" s="5">
        <f>'Cash Flow'!D29</f>
        <v>-6071</v>
      </c>
      <c r="U5" s="6">
        <f>'Cash Flow'!E29</f>
        <v>-915.40000000000009</v>
      </c>
      <c r="V5" s="6">
        <f>'Cash Flow'!F29</f>
        <v>-911.76683369069951</v>
      </c>
      <c r="W5" s="6">
        <f>'Cash Flow'!G29</f>
        <v>-904.35138102820406</v>
      </c>
      <c r="X5" s="1"/>
      <c r="Y5" s="1"/>
    </row>
    <row r="6" spans="1:25" ht="15" customHeight="1">
      <c r="A6" s="1"/>
      <c r="B6" s="1"/>
      <c r="C6" s="1"/>
      <c r="D6" s="1"/>
      <c r="E6" s="1"/>
      <c r="F6" s="1"/>
      <c r="G6" s="1"/>
      <c r="H6" s="1"/>
      <c r="I6" s="1"/>
      <c r="J6" s="1"/>
      <c r="K6" s="1"/>
      <c r="L6" s="1"/>
      <c r="M6" s="1"/>
      <c r="N6" s="1">
        <f>M5-N5</f>
        <v>3.4026228795814462E-2</v>
      </c>
      <c r="O6" s="1"/>
      <c r="P6" s="1"/>
      <c r="Q6" s="1"/>
      <c r="R6" s="1" t="s">
        <v>121</v>
      </c>
      <c r="S6" s="5">
        <f t="shared" ref="S6:W6" si="2">S3+S4+S5</f>
        <v>10346</v>
      </c>
      <c r="T6" s="5">
        <f t="shared" si="2"/>
        <v>10693</v>
      </c>
      <c r="U6" s="7">
        <f t="shared" si="2"/>
        <v>7485.1943277158298</v>
      </c>
      <c r="V6" s="7">
        <f t="shared" si="2"/>
        <v>14779.642566769762</v>
      </c>
      <c r="W6" s="7">
        <f t="shared" si="2"/>
        <v>13756.764168656642</v>
      </c>
      <c r="X6" s="1"/>
      <c r="Y6" s="1"/>
    </row>
    <row r="7" spans="1:25" ht="15" customHeight="1">
      <c r="A7" s="1"/>
      <c r="B7" s="1"/>
      <c r="C7" s="1"/>
      <c r="D7" s="1"/>
      <c r="E7" s="1"/>
      <c r="F7" s="1"/>
      <c r="G7" s="1"/>
      <c r="H7" s="1"/>
      <c r="I7" s="1"/>
      <c r="J7" s="1"/>
      <c r="K7" s="1"/>
      <c r="L7" s="1"/>
      <c r="M7" s="1"/>
      <c r="N7" s="1"/>
      <c r="O7" s="1"/>
      <c r="P7" s="1"/>
      <c r="Q7" s="1"/>
      <c r="R7" s="1"/>
      <c r="S7" s="1"/>
      <c r="T7" s="1"/>
      <c r="U7" s="1"/>
      <c r="V7" s="1"/>
      <c r="W7" s="1"/>
      <c r="X7" s="1"/>
      <c r="Y7" s="1"/>
    </row>
    <row r="8" spans="1:25" ht="15" customHeight="1">
      <c r="A8" s="1"/>
      <c r="B8" s="1"/>
      <c r="C8" s="1"/>
      <c r="D8" s="1"/>
      <c r="E8" s="1"/>
      <c r="F8" s="1"/>
      <c r="G8" s="1"/>
      <c r="H8" s="1"/>
      <c r="I8" s="1"/>
      <c r="J8" s="1"/>
      <c r="K8" s="1"/>
      <c r="L8" s="1"/>
      <c r="M8" s="1"/>
      <c r="N8" s="1"/>
      <c r="O8" s="1"/>
      <c r="P8" s="1"/>
      <c r="Q8" s="1"/>
      <c r="R8" s="2" t="s">
        <v>2</v>
      </c>
      <c r="S8" s="2" t="s">
        <v>4</v>
      </c>
      <c r="T8" s="2" t="s">
        <v>5</v>
      </c>
      <c r="U8" s="3" t="s">
        <v>6</v>
      </c>
      <c r="V8" s="3" t="s">
        <v>7</v>
      </c>
      <c r="W8" s="3" t="s">
        <v>8</v>
      </c>
      <c r="X8" s="1"/>
      <c r="Y8" s="1"/>
    </row>
    <row r="9" spans="1:25" ht="15" customHeight="1">
      <c r="A9" s="1"/>
      <c r="B9" s="1"/>
      <c r="C9" s="1"/>
      <c r="D9" s="1"/>
      <c r="E9" s="1"/>
      <c r="F9" s="1"/>
      <c r="G9" s="1"/>
      <c r="H9" s="1"/>
      <c r="I9" s="1"/>
      <c r="J9" s="1"/>
      <c r="K9" s="1"/>
      <c r="L9" s="1"/>
      <c r="M9" s="1"/>
      <c r="N9" s="1"/>
      <c r="O9" s="1"/>
      <c r="P9" s="1"/>
      <c r="Q9" s="1"/>
      <c r="R9" s="1" t="s">
        <v>114</v>
      </c>
      <c r="S9" s="8">
        <f t="shared" ref="S9:W9" si="3">S3/S$6</f>
        <v>0.97786584187125458</v>
      </c>
      <c r="T9" s="8">
        <f t="shared" si="3"/>
        <v>1.5806602450201066</v>
      </c>
      <c r="U9" s="8">
        <f t="shared" si="3"/>
        <v>1.0851347836943148</v>
      </c>
      <c r="V9" s="8">
        <f t="shared" si="3"/>
        <v>1.0545254484957918</v>
      </c>
      <c r="W9" s="8">
        <f t="shared" si="3"/>
        <v>1.0664785752796304</v>
      </c>
      <c r="X9" s="1"/>
      <c r="Y9" s="1"/>
    </row>
    <row r="10" spans="1:25" ht="15" customHeight="1">
      <c r="A10" s="1"/>
      <c r="B10" s="1"/>
      <c r="C10" s="1"/>
      <c r="D10" s="1"/>
      <c r="E10" s="1"/>
      <c r="F10" s="1"/>
      <c r="G10" s="1"/>
      <c r="H10" s="1"/>
      <c r="I10" s="1"/>
      <c r="J10" s="1"/>
      <c r="K10" s="1"/>
      <c r="L10" s="1"/>
      <c r="M10" s="1"/>
      <c r="N10" s="1"/>
      <c r="O10" s="1"/>
      <c r="P10" s="1"/>
      <c r="Q10" s="1"/>
      <c r="R10" s="1" t="s">
        <v>117</v>
      </c>
      <c r="S10" s="8">
        <f t="shared" ref="S10:S12" si="4">S4/$S$6</f>
        <v>-2.3004059539918808E-2</v>
      </c>
      <c r="T10" s="8">
        <f t="shared" ref="T10:W10" si="5">T4/T$6</f>
        <v>-1.2905639203217058E-2</v>
      </c>
      <c r="U10" s="8">
        <f t="shared" si="5"/>
        <v>3.7159970445934942E-2</v>
      </c>
      <c r="V10" s="8">
        <f t="shared" si="5"/>
        <v>7.1652743732913398E-3</v>
      </c>
      <c r="W10" s="8">
        <f t="shared" si="5"/>
        <v>-7.399052013372829E-4</v>
      </c>
      <c r="X10" s="1"/>
      <c r="Y10" s="1"/>
    </row>
    <row r="11" spans="1:25" ht="15" customHeight="1">
      <c r="A11" s="1"/>
      <c r="B11" s="1"/>
      <c r="C11" s="1"/>
      <c r="D11" s="1"/>
      <c r="E11" s="1"/>
      <c r="F11" s="1"/>
      <c r="G11" s="1"/>
      <c r="H11" s="1"/>
      <c r="I11" s="1"/>
      <c r="J11" s="1"/>
      <c r="K11" s="1"/>
      <c r="L11" s="1"/>
      <c r="M11" s="1"/>
      <c r="N11" s="1"/>
      <c r="O11" s="1"/>
      <c r="P11" s="1"/>
      <c r="Q11" s="1"/>
      <c r="R11" s="1" t="s">
        <v>120</v>
      </c>
      <c r="S11" s="8">
        <f t="shared" si="4"/>
        <v>4.5138217668664216E-2</v>
      </c>
      <c r="T11" s="8">
        <f t="shared" ref="T11:W11" si="6">T5/T$6</f>
        <v>-0.56775460581688952</v>
      </c>
      <c r="U11" s="8">
        <f t="shared" si="6"/>
        <v>-0.12229475414024985</v>
      </c>
      <c r="V11" s="8">
        <f t="shared" si="6"/>
        <v>-6.1690722869083239E-2</v>
      </c>
      <c r="W11" s="8">
        <f t="shared" si="6"/>
        <v>-6.5738670078293177E-2</v>
      </c>
      <c r="X11" s="1"/>
      <c r="Y11" s="1"/>
    </row>
    <row r="12" spans="1:25" ht="15" customHeight="1">
      <c r="A12" s="1"/>
      <c r="B12" s="1"/>
      <c r="C12" s="1"/>
      <c r="D12" s="1"/>
      <c r="E12" s="1"/>
      <c r="F12" s="1"/>
      <c r="G12" s="1"/>
      <c r="H12" s="1"/>
      <c r="I12" s="1"/>
      <c r="J12" s="1"/>
      <c r="K12" s="1"/>
      <c r="L12" s="1"/>
      <c r="M12" s="1"/>
      <c r="N12" s="1"/>
      <c r="O12" s="1"/>
      <c r="P12" s="1"/>
      <c r="Q12" s="1"/>
      <c r="R12" s="1" t="s">
        <v>121</v>
      </c>
      <c r="S12" s="8">
        <f t="shared" si="4"/>
        <v>1</v>
      </c>
      <c r="T12" s="8">
        <f t="shared" ref="T12:W12" si="7">T6/T$6</f>
        <v>1</v>
      </c>
      <c r="U12" s="8">
        <f t="shared" si="7"/>
        <v>1</v>
      </c>
      <c r="V12" s="8">
        <f t="shared" si="7"/>
        <v>1</v>
      </c>
      <c r="W12" s="8">
        <f t="shared" si="7"/>
        <v>1</v>
      </c>
      <c r="X12" s="1"/>
      <c r="Y12" s="1"/>
    </row>
    <row r="13" spans="1:25" ht="15" customHeight="1">
      <c r="A13" s="1"/>
      <c r="B13" s="1"/>
      <c r="C13" s="1"/>
      <c r="D13" s="1"/>
      <c r="E13" s="1"/>
      <c r="F13" s="1"/>
      <c r="G13" s="1"/>
      <c r="H13" s="1"/>
      <c r="I13" s="1"/>
      <c r="J13" s="1"/>
      <c r="K13" s="1"/>
      <c r="L13" s="1"/>
      <c r="M13" s="1"/>
      <c r="N13" s="1"/>
      <c r="O13" s="1"/>
      <c r="P13" s="1"/>
      <c r="Q13" s="1"/>
      <c r="R13" s="1"/>
      <c r="S13" s="1"/>
      <c r="T13" s="1"/>
      <c r="U13" s="1"/>
      <c r="V13" s="1"/>
      <c r="W13" s="1"/>
      <c r="X13" s="1"/>
      <c r="Y13" s="1"/>
    </row>
    <row r="14" spans="1:25" ht="15"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5" customHeight="1">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c r="A20" s="1"/>
      <c r="B20" s="1"/>
      <c r="C20" s="1"/>
      <c r="D20" s="1"/>
      <c r="E20" s="1"/>
      <c r="F20" s="1"/>
      <c r="G20" s="1"/>
      <c r="H20" s="1"/>
      <c r="I20" s="1"/>
      <c r="J20" s="1"/>
      <c r="K20" s="1"/>
      <c r="L20" s="1"/>
      <c r="M20" s="1"/>
      <c r="N20" s="1"/>
      <c r="O20" s="1"/>
      <c r="P20" s="1"/>
      <c r="Q20" s="1"/>
      <c r="R20" s="1"/>
      <c r="S20" s="1"/>
      <c r="T20" s="1"/>
      <c r="U20" s="1"/>
      <c r="V20" s="1"/>
      <c r="W20" s="1"/>
      <c r="X20" s="1"/>
      <c r="Y20" s="1"/>
    </row>
    <row r="21" spans="1:25" ht="15" customHeight="1">
      <c r="A21" s="1"/>
      <c r="B21" s="1"/>
      <c r="C21" s="1"/>
      <c r="D21" s="1"/>
      <c r="E21" s="1"/>
      <c r="F21" s="1"/>
      <c r="G21" s="1"/>
      <c r="H21" s="1"/>
      <c r="I21" s="1"/>
      <c r="J21" s="1"/>
      <c r="K21" s="1"/>
      <c r="L21" s="1"/>
      <c r="M21" s="1"/>
      <c r="N21" s="1"/>
      <c r="O21" s="1"/>
      <c r="P21" s="1"/>
      <c r="Q21" s="1"/>
      <c r="R21" s="1"/>
      <c r="S21" s="1"/>
      <c r="T21" s="1"/>
      <c r="U21" s="1"/>
      <c r="V21" s="1"/>
      <c r="W21" s="1"/>
      <c r="X21" s="1"/>
      <c r="Y21" s="1"/>
    </row>
    <row r="22" spans="1:25" ht="15" customHeight="1">
      <c r="A22" s="1"/>
      <c r="B22" s="1"/>
      <c r="C22" s="1"/>
      <c r="D22" s="1"/>
      <c r="E22" s="1"/>
      <c r="F22" s="1"/>
      <c r="G22" s="1"/>
      <c r="H22" s="1"/>
      <c r="I22" s="1"/>
      <c r="J22" s="1"/>
      <c r="K22" s="1"/>
      <c r="L22" s="1"/>
      <c r="M22" s="1"/>
      <c r="N22" s="1"/>
      <c r="O22" s="1"/>
      <c r="P22" s="1"/>
      <c r="Q22" s="1"/>
      <c r="R22" s="1"/>
      <c r="S22" s="1"/>
      <c r="T22" s="1"/>
      <c r="U22" s="1"/>
      <c r="V22" s="1"/>
      <c r="W22" s="1"/>
      <c r="X22" s="1"/>
      <c r="Y22" s="1"/>
    </row>
    <row r="23" spans="1:25" ht="15" customHeight="1">
      <c r="A23" s="1"/>
      <c r="B23" s="1"/>
      <c r="C23" s="1"/>
      <c r="D23" s="1"/>
      <c r="E23" s="1"/>
      <c r="F23" s="1"/>
      <c r="G23" s="1"/>
      <c r="H23" s="1"/>
      <c r="I23" s="1"/>
      <c r="J23" s="1"/>
      <c r="K23" s="1"/>
      <c r="L23" s="1"/>
      <c r="M23" s="1"/>
      <c r="N23" s="1"/>
      <c r="O23" s="1"/>
      <c r="P23" s="1"/>
      <c r="Q23" s="1"/>
      <c r="R23" s="1"/>
      <c r="S23" s="1"/>
      <c r="T23" s="1"/>
      <c r="U23" s="1"/>
      <c r="V23" s="1"/>
      <c r="W23" s="1"/>
      <c r="X23" s="1"/>
      <c r="Y23" s="1"/>
    </row>
    <row r="24" spans="1:25" ht="15" customHeight="1">
      <c r="A24" s="1"/>
      <c r="B24" s="92" t="s">
        <v>122</v>
      </c>
      <c r="C24" s="93"/>
      <c r="D24" s="93"/>
      <c r="E24" s="93"/>
      <c r="F24" s="93"/>
      <c r="G24" s="93"/>
      <c r="H24" s="94"/>
      <c r="I24" s="1"/>
      <c r="J24" s="84" t="s">
        <v>124</v>
      </c>
      <c r="K24" s="85"/>
      <c r="L24" s="85"/>
      <c r="M24" s="85"/>
      <c r="N24" s="85"/>
      <c r="O24" s="85"/>
      <c r="P24" s="86"/>
      <c r="Q24" s="1"/>
      <c r="R24" s="1"/>
      <c r="S24" s="1"/>
      <c r="T24" s="1"/>
      <c r="U24" s="1"/>
      <c r="V24" s="1"/>
      <c r="W24" s="1"/>
      <c r="X24" s="1"/>
      <c r="Y24" s="1"/>
    </row>
    <row r="25" spans="1:25" ht="15" customHeight="1">
      <c r="A25" s="1"/>
      <c r="B25" s="95"/>
      <c r="C25" s="96"/>
      <c r="D25" s="96"/>
      <c r="E25" s="96"/>
      <c r="F25" s="96"/>
      <c r="G25" s="96"/>
      <c r="H25" s="97"/>
      <c r="I25" s="1"/>
      <c r="J25" s="87"/>
      <c r="K25" s="83"/>
      <c r="L25" s="83"/>
      <c r="M25" s="83"/>
      <c r="N25" s="83"/>
      <c r="O25" s="83"/>
      <c r="P25" s="88"/>
      <c r="Q25" s="1"/>
      <c r="R25" s="1"/>
      <c r="S25" s="1"/>
      <c r="T25" s="1"/>
      <c r="U25" s="1"/>
      <c r="V25" s="1"/>
      <c r="W25" s="1"/>
      <c r="X25" s="1"/>
      <c r="Y25" s="1"/>
    </row>
    <row r="26" spans="1:25" ht="15" customHeight="1">
      <c r="A26" s="1"/>
      <c r="B26" s="95"/>
      <c r="C26" s="96"/>
      <c r="D26" s="96"/>
      <c r="E26" s="96"/>
      <c r="F26" s="96"/>
      <c r="G26" s="96"/>
      <c r="H26" s="97"/>
      <c r="I26" s="1"/>
      <c r="J26" s="87"/>
      <c r="K26" s="83"/>
      <c r="L26" s="83"/>
      <c r="M26" s="83"/>
      <c r="N26" s="83"/>
      <c r="O26" s="83"/>
      <c r="P26" s="88"/>
      <c r="Q26" s="1"/>
      <c r="R26" s="1"/>
      <c r="S26" s="1"/>
      <c r="T26" s="1"/>
      <c r="U26" s="1"/>
      <c r="V26" s="1"/>
      <c r="W26" s="1"/>
      <c r="X26" s="1"/>
      <c r="Y26" s="1"/>
    </row>
    <row r="27" spans="1:25" ht="15" customHeight="1">
      <c r="A27" s="1"/>
      <c r="B27" s="95"/>
      <c r="C27" s="96"/>
      <c r="D27" s="96"/>
      <c r="E27" s="96"/>
      <c r="F27" s="96"/>
      <c r="G27" s="96"/>
      <c r="H27" s="97"/>
      <c r="I27" s="1"/>
      <c r="J27" s="87"/>
      <c r="K27" s="83"/>
      <c r="L27" s="83"/>
      <c r="M27" s="83"/>
      <c r="N27" s="83"/>
      <c r="O27" s="83"/>
      <c r="P27" s="88"/>
      <c r="Q27" s="1"/>
      <c r="R27" s="1"/>
      <c r="S27" s="1"/>
      <c r="T27" s="1"/>
      <c r="U27" s="1"/>
      <c r="V27" s="1"/>
      <c r="W27" s="1"/>
      <c r="X27" s="1"/>
      <c r="Y27" s="1"/>
    </row>
    <row r="28" spans="1:25" ht="15" customHeight="1">
      <c r="A28" s="1"/>
      <c r="B28" s="95"/>
      <c r="C28" s="96"/>
      <c r="D28" s="96"/>
      <c r="E28" s="96"/>
      <c r="F28" s="96"/>
      <c r="G28" s="96"/>
      <c r="H28" s="97"/>
      <c r="I28" s="1"/>
      <c r="J28" s="87"/>
      <c r="K28" s="83"/>
      <c r="L28" s="83"/>
      <c r="M28" s="83"/>
      <c r="N28" s="83"/>
      <c r="O28" s="83"/>
      <c r="P28" s="88"/>
      <c r="Q28" s="1"/>
      <c r="R28" s="1"/>
      <c r="S28" s="1"/>
      <c r="T28" s="1"/>
      <c r="U28" s="1"/>
      <c r="V28" s="1"/>
      <c r="W28" s="1"/>
      <c r="X28" s="1"/>
      <c r="Y28" s="1"/>
    </row>
    <row r="29" spans="1:25" ht="15" customHeight="1">
      <c r="A29" s="1"/>
      <c r="B29" s="95"/>
      <c r="C29" s="96"/>
      <c r="D29" s="96"/>
      <c r="E29" s="96"/>
      <c r="F29" s="96"/>
      <c r="G29" s="96"/>
      <c r="H29" s="97"/>
      <c r="I29" s="1"/>
      <c r="J29" s="87"/>
      <c r="K29" s="83"/>
      <c r="L29" s="83"/>
      <c r="M29" s="83"/>
      <c r="N29" s="83"/>
      <c r="O29" s="83"/>
      <c r="P29" s="88"/>
      <c r="Q29" s="1"/>
      <c r="R29" s="1"/>
      <c r="S29" s="1"/>
      <c r="T29" s="1"/>
      <c r="U29" s="1"/>
      <c r="V29" s="1"/>
      <c r="W29" s="1"/>
      <c r="X29" s="1"/>
      <c r="Y29" s="1"/>
    </row>
    <row r="30" spans="1:25" ht="15" customHeight="1">
      <c r="A30" s="1"/>
      <c r="B30" s="95"/>
      <c r="C30" s="96"/>
      <c r="D30" s="96"/>
      <c r="E30" s="96"/>
      <c r="F30" s="96"/>
      <c r="G30" s="96"/>
      <c r="H30" s="97"/>
      <c r="I30" s="1"/>
      <c r="J30" s="87"/>
      <c r="K30" s="83"/>
      <c r="L30" s="83"/>
      <c r="M30" s="83"/>
      <c r="N30" s="83"/>
      <c r="O30" s="83"/>
      <c r="P30" s="88"/>
      <c r="Q30" s="1"/>
      <c r="R30" s="1"/>
      <c r="S30" s="1"/>
      <c r="T30" s="1"/>
      <c r="U30" s="1"/>
      <c r="V30" s="1"/>
      <c r="W30" s="1"/>
      <c r="X30" s="1"/>
      <c r="Y30" s="1"/>
    </row>
    <row r="31" spans="1:25" ht="15" customHeight="1">
      <c r="A31" s="1"/>
      <c r="B31" s="95"/>
      <c r="C31" s="96"/>
      <c r="D31" s="96"/>
      <c r="E31" s="96"/>
      <c r="F31" s="96"/>
      <c r="G31" s="96"/>
      <c r="H31" s="97"/>
      <c r="I31" s="1"/>
      <c r="J31" s="87"/>
      <c r="K31" s="83"/>
      <c r="L31" s="83"/>
      <c r="M31" s="83"/>
      <c r="N31" s="83"/>
      <c r="O31" s="83"/>
      <c r="P31" s="88"/>
      <c r="Q31" s="1"/>
      <c r="R31" s="1"/>
      <c r="S31" s="1"/>
      <c r="T31" s="1"/>
      <c r="U31" s="1"/>
      <c r="V31" s="1"/>
      <c r="W31" s="1"/>
      <c r="X31" s="1"/>
      <c r="Y31" s="1"/>
    </row>
    <row r="32" spans="1:25" ht="15" customHeight="1">
      <c r="A32" s="1"/>
      <c r="B32" s="95"/>
      <c r="C32" s="96"/>
      <c r="D32" s="96"/>
      <c r="E32" s="96"/>
      <c r="F32" s="96"/>
      <c r="G32" s="96"/>
      <c r="H32" s="97"/>
      <c r="I32" s="1"/>
      <c r="J32" s="87"/>
      <c r="K32" s="83"/>
      <c r="L32" s="83"/>
      <c r="M32" s="83"/>
      <c r="N32" s="83"/>
      <c r="O32" s="83"/>
      <c r="P32" s="88"/>
      <c r="Q32" s="1"/>
      <c r="R32" s="92" t="s">
        <v>123</v>
      </c>
      <c r="S32" s="93"/>
      <c r="T32" s="93"/>
      <c r="U32" s="93"/>
      <c r="V32" s="93"/>
      <c r="W32" s="93"/>
      <c r="X32" s="94"/>
      <c r="Y32" s="1"/>
    </row>
    <row r="33" spans="1:25" ht="15" customHeight="1">
      <c r="A33" s="1"/>
      <c r="B33" s="95"/>
      <c r="C33" s="96"/>
      <c r="D33" s="96"/>
      <c r="E33" s="96"/>
      <c r="F33" s="96"/>
      <c r="G33" s="96"/>
      <c r="H33" s="97"/>
      <c r="I33" s="1"/>
      <c r="J33" s="89"/>
      <c r="K33" s="90"/>
      <c r="L33" s="90"/>
      <c r="M33" s="90"/>
      <c r="N33" s="90"/>
      <c r="O33" s="90"/>
      <c r="P33" s="91"/>
      <c r="Q33" s="1"/>
      <c r="R33" s="95"/>
      <c r="S33" s="96"/>
      <c r="T33" s="96"/>
      <c r="U33" s="96"/>
      <c r="V33" s="96"/>
      <c r="W33" s="96"/>
      <c r="X33" s="97"/>
      <c r="Y33" s="1"/>
    </row>
    <row r="34" spans="1:25" ht="15" customHeight="1">
      <c r="A34" s="1"/>
      <c r="B34" s="95"/>
      <c r="C34" s="96"/>
      <c r="D34" s="96"/>
      <c r="E34" s="96"/>
      <c r="F34" s="96"/>
      <c r="G34" s="96"/>
      <c r="H34" s="97"/>
      <c r="I34" s="1"/>
      <c r="J34" s="1"/>
      <c r="K34" s="1"/>
      <c r="L34" s="1"/>
      <c r="M34" s="1"/>
      <c r="N34" s="1"/>
      <c r="O34" s="1"/>
      <c r="P34" s="1"/>
      <c r="Q34" s="1"/>
      <c r="R34" s="95"/>
      <c r="S34" s="96"/>
      <c r="T34" s="96"/>
      <c r="U34" s="96"/>
      <c r="V34" s="96"/>
      <c r="W34" s="96"/>
      <c r="X34" s="97"/>
      <c r="Y34" s="1"/>
    </row>
    <row r="35" spans="1:25" ht="15" customHeight="1">
      <c r="A35" s="1"/>
      <c r="B35" s="98"/>
      <c r="C35" s="99"/>
      <c r="D35" s="99"/>
      <c r="E35" s="99"/>
      <c r="F35" s="99"/>
      <c r="G35" s="99"/>
      <c r="H35" s="100"/>
      <c r="I35" s="1"/>
      <c r="J35" s="1"/>
      <c r="K35" s="1"/>
      <c r="L35" s="1"/>
      <c r="M35" s="1"/>
      <c r="N35" s="1"/>
      <c r="O35" s="1"/>
      <c r="P35" s="1"/>
      <c r="Q35" s="1"/>
      <c r="R35" s="95"/>
      <c r="S35" s="96"/>
      <c r="T35" s="96"/>
      <c r="U35" s="96"/>
      <c r="V35" s="96"/>
      <c r="W35" s="96"/>
      <c r="X35" s="97"/>
      <c r="Y35" s="1"/>
    </row>
    <row r="36" spans="1:25" ht="15" customHeight="1">
      <c r="A36" s="1"/>
      <c r="B36" s="1"/>
      <c r="C36" s="1"/>
      <c r="D36" s="1"/>
      <c r="E36" s="1"/>
      <c r="F36" s="1"/>
      <c r="G36" s="1"/>
      <c r="H36" s="1"/>
      <c r="I36" s="1"/>
      <c r="J36" s="1"/>
      <c r="K36" s="1"/>
      <c r="L36" s="1"/>
      <c r="M36" s="1"/>
      <c r="N36" s="1"/>
      <c r="O36" s="1"/>
      <c r="P36" s="1"/>
      <c r="Q36" s="1"/>
      <c r="R36" s="95"/>
      <c r="S36" s="96"/>
      <c r="T36" s="96"/>
      <c r="U36" s="96"/>
      <c r="V36" s="96"/>
      <c r="W36" s="96"/>
      <c r="X36" s="97"/>
      <c r="Y36" s="1"/>
    </row>
    <row r="37" spans="1:25" ht="15" customHeight="1">
      <c r="A37" s="1"/>
      <c r="B37" s="1"/>
      <c r="C37" s="1"/>
      <c r="D37" s="1"/>
      <c r="E37" s="1"/>
      <c r="F37" s="1"/>
      <c r="G37" s="1"/>
      <c r="H37" s="1"/>
      <c r="I37" s="1"/>
      <c r="J37" s="1"/>
      <c r="K37" s="1"/>
      <c r="L37" s="1"/>
      <c r="M37" s="1"/>
      <c r="N37" s="1"/>
      <c r="O37" s="1"/>
      <c r="P37" s="1"/>
      <c r="Q37" s="1"/>
      <c r="R37" s="95"/>
      <c r="S37" s="96"/>
      <c r="T37" s="96"/>
      <c r="U37" s="96"/>
      <c r="V37" s="96"/>
      <c r="W37" s="96"/>
      <c r="X37" s="97"/>
      <c r="Y37" s="1"/>
    </row>
    <row r="38" spans="1:25" ht="15" customHeight="1">
      <c r="A38" s="1"/>
      <c r="B38" s="1"/>
      <c r="C38" s="1"/>
      <c r="D38" s="1"/>
      <c r="E38" s="1"/>
      <c r="F38" s="1"/>
      <c r="G38" s="1"/>
      <c r="H38" s="1"/>
      <c r="I38" s="1"/>
      <c r="J38" s="1"/>
      <c r="K38" s="1"/>
      <c r="L38" s="1"/>
      <c r="M38" s="1"/>
      <c r="N38" s="1"/>
      <c r="O38" s="1"/>
      <c r="P38" s="1"/>
      <c r="Q38" s="1"/>
      <c r="R38" s="95"/>
      <c r="S38" s="96"/>
      <c r="T38" s="96"/>
      <c r="U38" s="96"/>
      <c r="V38" s="96"/>
      <c r="W38" s="96"/>
      <c r="X38" s="97"/>
      <c r="Y38" s="1"/>
    </row>
    <row r="39" spans="1:25" ht="15" customHeight="1">
      <c r="A39" s="1"/>
      <c r="B39" s="1"/>
      <c r="C39" s="1"/>
      <c r="D39" s="1"/>
      <c r="E39" s="1"/>
      <c r="F39" s="1"/>
      <c r="G39" s="1"/>
      <c r="H39" s="1"/>
      <c r="I39" s="1"/>
      <c r="J39" s="1"/>
      <c r="K39" s="1"/>
      <c r="L39" s="1"/>
      <c r="M39" s="1"/>
      <c r="N39" s="1"/>
      <c r="O39" s="1"/>
      <c r="P39" s="1"/>
      <c r="Q39" s="1"/>
      <c r="R39" s="95"/>
      <c r="S39" s="96"/>
      <c r="T39" s="96"/>
      <c r="U39" s="96"/>
      <c r="V39" s="96"/>
      <c r="W39" s="96"/>
      <c r="X39" s="97"/>
      <c r="Y39" s="1"/>
    </row>
    <row r="40" spans="1:25" ht="15" customHeight="1">
      <c r="A40" s="1"/>
      <c r="B40" s="1"/>
      <c r="C40" s="1"/>
      <c r="D40" s="1"/>
      <c r="E40" s="1"/>
      <c r="F40" s="1"/>
      <c r="G40" s="1"/>
      <c r="H40" s="1"/>
      <c r="I40" s="1"/>
      <c r="J40" s="1"/>
      <c r="K40" s="1"/>
      <c r="L40" s="1"/>
      <c r="M40" s="1"/>
      <c r="N40" s="1"/>
      <c r="O40" s="1"/>
      <c r="P40" s="1"/>
      <c r="Q40" s="1"/>
      <c r="R40" s="95"/>
      <c r="S40" s="96"/>
      <c r="T40" s="96"/>
      <c r="U40" s="96"/>
      <c r="V40" s="96"/>
      <c r="W40" s="96"/>
      <c r="X40" s="97"/>
      <c r="Y40" s="1"/>
    </row>
    <row r="41" spans="1:25" ht="15" customHeight="1">
      <c r="A41" s="1"/>
      <c r="B41" s="1"/>
      <c r="C41" s="1"/>
      <c r="D41" s="1"/>
      <c r="E41" s="1"/>
      <c r="F41" s="1"/>
      <c r="G41" s="1"/>
      <c r="H41" s="1"/>
      <c r="I41" s="1"/>
      <c r="J41" s="1"/>
      <c r="K41" s="1"/>
      <c r="L41" s="1"/>
      <c r="M41" s="1"/>
      <c r="N41" s="1"/>
      <c r="O41" s="1"/>
      <c r="P41" s="1"/>
      <c r="Q41" s="1"/>
      <c r="R41" s="95"/>
      <c r="S41" s="96"/>
      <c r="T41" s="96"/>
      <c r="U41" s="96"/>
      <c r="V41" s="96"/>
      <c r="W41" s="96"/>
      <c r="X41" s="97"/>
      <c r="Y41" s="1"/>
    </row>
    <row r="42" spans="1:25" ht="15" customHeight="1">
      <c r="A42" s="1"/>
      <c r="B42" s="1"/>
      <c r="C42" s="1"/>
      <c r="D42" s="1"/>
      <c r="E42" s="1"/>
      <c r="F42" s="1"/>
      <c r="G42" s="1"/>
      <c r="H42" s="1"/>
      <c r="I42" s="1"/>
      <c r="J42" s="1"/>
      <c r="K42" s="1"/>
      <c r="L42" s="1"/>
      <c r="M42" s="1"/>
      <c r="N42" s="1"/>
      <c r="O42" s="1"/>
      <c r="P42" s="1"/>
      <c r="Q42" s="1"/>
      <c r="R42" s="95"/>
      <c r="S42" s="96"/>
      <c r="T42" s="96"/>
      <c r="U42" s="96"/>
      <c r="V42" s="96"/>
      <c r="W42" s="96"/>
      <c r="X42" s="97"/>
      <c r="Y42" s="1"/>
    </row>
    <row r="43" spans="1:25" ht="15" customHeight="1">
      <c r="A43" s="1"/>
      <c r="B43" s="1"/>
      <c r="C43" s="1"/>
      <c r="D43" s="1"/>
      <c r="E43" s="1"/>
      <c r="F43" s="1"/>
      <c r="G43" s="1"/>
      <c r="H43" s="1"/>
      <c r="I43" s="1"/>
      <c r="J43" s="1"/>
      <c r="K43" s="1"/>
      <c r="L43" s="1"/>
      <c r="M43" s="1"/>
      <c r="N43" s="1"/>
      <c r="O43" s="1"/>
      <c r="P43" s="1"/>
      <c r="Q43" s="1"/>
      <c r="R43" s="95"/>
      <c r="S43" s="96"/>
      <c r="T43" s="96"/>
      <c r="U43" s="96"/>
      <c r="V43" s="96"/>
      <c r="W43" s="96"/>
      <c r="X43" s="97"/>
      <c r="Y43" s="1"/>
    </row>
    <row r="44" spans="1:25" ht="15" customHeight="1">
      <c r="A44" s="1"/>
      <c r="B44" s="1"/>
      <c r="C44" s="1"/>
      <c r="D44" s="1"/>
      <c r="E44" s="1"/>
      <c r="F44" s="1"/>
      <c r="G44" s="1"/>
      <c r="H44" s="1"/>
      <c r="I44" s="1"/>
      <c r="J44" s="1"/>
      <c r="K44" s="1"/>
      <c r="L44" s="1"/>
      <c r="M44" s="1"/>
      <c r="N44" s="1"/>
      <c r="O44" s="1"/>
      <c r="P44" s="1"/>
      <c r="Q44" s="1"/>
      <c r="R44" s="98"/>
      <c r="S44" s="99"/>
      <c r="T44" s="99"/>
      <c r="U44" s="99"/>
      <c r="V44" s="99"/>
      <c r="W44" s="99"/>
      <c r="X44" s="100"/>
      <c r="Y44" s="1"/>
    </row>
    <row r="45" spans="1:25" ht="15"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5"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5"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5"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5"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5"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5"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5"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5"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5"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5"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5"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5"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5"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5"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5"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5"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5"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5"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5"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5"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5"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5"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5"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5"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5"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5"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5"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5"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5"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5"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5"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5"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5"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5"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5"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5"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5"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5"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5"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5"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5"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5"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5"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5"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5"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5"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5"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5"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5"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5"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5"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5"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5"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5"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J24:P33"/>
    <mergeCell ref="R32:X44"/>
    <mergeCell ref="B24:H35"/>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Profit &amp; Loss</vt:lpstr>
      <vt:lpstr>Balance Sheet</vt:lpstr>
      <vt:lpstr>Cash Flow</vt:lpstr>
      <vt:lpstr>Workings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ABCD</cp:lastModifiedBy>
  <dcterms:created xsi:type="dcterms:W3CDTF">2012-08-17T09:55:00Z</dcterms:created>
  <dcterms:modified xsi:type="dcterms:W3CDTF">2022-01-22T13:37:58Z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1033-11.2.0.10223</vt:lpwstr>
  </property>
</Properties>
</file>